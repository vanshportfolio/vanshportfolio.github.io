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28" r:id="rId1"/>
    <sheet name="Drivers" sheetId="79" r:id="rId2"/>
    <sheet name="About" sheetId="29" r:id="rId3"/>
    <sheet name="Corporate Governance" sheetId="66" r:id="rId4"/>
    <sheet name="Index" sheetId="4" r:id="rId5"/>
    <sheet name="Risk Free Rate &amp; ERP" sheetId="24" r:id="rId6"/>
    <sheet name="Beta Calculation Data" sheetId="67" r:id="rId7"/>
    <sheet name="Bottom Up Beta" sheetId="68" r:id="rId8"/>
    <sheet name="Cost of Equity, Debt &amp; WACC" sheetId="23" r:id="rId9"/>
    <sheet name="Cash Flows" sheetId="17" r:id="rId10"/>
    <sheet name="Accounting Adjustments" sheetId="49" r:id="rId11"/>
    <sheet name="Reinvestment" sheetId="32" r:id="rId12"/>
    <sheet name="FCFF &amp; FCFE" sheetId="35" r:id="rId13"/>
    <sheet name="Growth Rate &amp; TV" sheetId="36" r:id="rId14"/>
    <sheet name="Expected Growth Rate" sheetId="39" r:id="rId15"/>
    <sheet name="Future CashFlows (10Y)" sheetId="75" r:id="rId16"/>
    <sheet name="Terminal Value" sheetId="40" r:id="rId17"/>
    <sheet name="Road to Fair Value of Share" sheetId="42" r:id="rId18"/>
    <sheet name="Cash &amp; Marketable Securities" sheetId="43" r:id="rId19"/>
    <sheet name="Future Value (Equity Options)" sheetId="57" r:id="rId20"/>
    <sheet name="Fair Value of Share" sheetId="48" r:id="rId21"/>
    <sheet name="What If Analysis" sheetId="82" r:id="rId22"/>
    <sheet name="Sensitivity Analysis" sheetId="81" r:id="rId23"/>
    <sheet name="Scenario Analysis" sheetId="83" r:id="rId24"/>
    <sheet name="Financing Decision" sheetId="70" r:id="rId25"/>
    <sheet name="Debt Design Explained" sheetId="71" r:id="rId26"/>
    <sheet name="Optimal Cost of Capital" sheetId="69" r:id="rId27"/>
    <sheet name="Adjusted Present Value" sheetId="72" r:id="rId28"/>
    <sheet name="Dividend Decision" sheetId="76" r:id="rId29"/>
    <sheet name="Cash Return Explained" sheetId="77" r:id="rId30"/>
    <sheet name="Resources" sheetId="86" r:id="rId31"/>
    <sheet name="Income Statement" sheetId="84" r:id="rId32"/>
    <sheet name="Balance Sheet" sheetId="85" r:id="rId33"/>
    <sheet name="Cash Flow Statement" sheetId="87" r:id="rId34"/>
  </sheets>
  <definedNames>
    <definedName name="_xlchart.v1.0" hidden="1">('Accounting Adjustments'!$B$5:$B$6,'Accounting Adjustments'!$B$8:$B$11)</definedName>
    <definedName name="_xlchart.v1.1" hidden="1">('Accounting Adjustments'!$G$5:$G$6,'Accounting Adjustments'!$G$8:$G$11)</definedName>
    <definedName name="_xlnm.Print_Area" localSheetId="27">'Adjusted Present Value'!$A$11:$H$27</definedName>
    <definedName name="_xlnm.Print_Area" localSheetId="29">'Cash Return Explained'!$A$11:$G$27</definedName>
    <definedName name="_xlnm.Print_Area" localSheetId="0">Dashboard!$A$1:$AC$31</definedName>
    <definedName name="_xlnm.Print_Area" localSheetId="25">'Debt Design Explained'!$A$11:$H$27</definedName>
    <definedName name="_xlnm.Print_Area" localSheetId="20">'Fair Value of Share'!$A$11:$H$27</definedName>
    <definedName name="_xlnm.Print_Area" localSheetId="15">'Future CashFlows (10Y)'!#REF!</definedName>
    <definedName name="_xlnm.Print_Area" localSheetId="19">'Future Value (Equity Options)'!$B$3:$M$22</definedName>
    <definedName name="_xlnm.Print_Area" localSheetId="26">'Optimal Cost of Capital'!$A$11:$H$27</definedName>
    <definedName name="_xlnm.Print_Area" localSheetId="23">'Scenario Analysis'!$A$11:$A$27</definedName>
    <definedName name="_xlnm.Print_Area" localSheetId="22">'Sensitivity Analysis'!$A$13:$H$29</definedName>
  </definedNames>
  <calcPr calcId="162913"/>
</workbook>
</file>

<file path=xl/calcChain.xml><?xml version="1.0" encoding="utf-8"?>
<calcChain xmlns="http://schemas.openxmlformats.org/spreadsheetml/2006/main">
  <c r="P5" i="81" l="1"/>
  <c r="P6" i="81"/>
  <c r="F24" i="77" l="1"/>
  <c r="K3" i="28" l="1"/>
  <c r="AB3" i="28"/>
  <c r="K25" i="79"/>
  <c r="I25" i="79"/>
  <c r="G6" i="57"/>
  <c r="B33" i="4"/>
  <c r="B34" i="4" s="1"/>
  <c r="B35" i="4" s="1"/>
  <c r="B32" i="4"/>
  <c r="B30" i="4"/>
  <c r="C26" i="77" l="1"/>
  <c r="F5" i="77"/>
  <c r="E5" i="77"/>
  <c r="D5" i="77"/>
  <c r="C5" i="77"/>
  <c r="G5" i="77"/>
  <c r="F6" i="77"/>
  <c r="E6" i="77"/>
  <c r="D6" i="77"/>
  <c r="C6" i="77"/>
  <c r="G6" i="77"/>
  <c r="M4" i="69"/>
  <c r="C16" i="83" l="1"/>
  <c r="C17" i="83"/>
  <c r="C16" i="71"/>
  <c r="C15" i="71"/>
  <c r="C14" i="71"/>
  <c r="C13" i="71"/>
  <c r="C3" i="71"/>
  <c r="C5" i="71"/>
  <c r="I11" i="71"/>
  <c r="I14" i="71" s="1"/>
  <c r="J10" i="71"/>
  <c r="H10" i="71"/>
  <c r="H9" i="71"/>
  <c r="J8" i="71"/>
  <c r="H8" i="71"/>
  <c r="H7" i="71"/>
  <c r="J6" i="71"/>
  <c r="H6" i="71"/>
  <c r="J5" i="71"/>
  <c r="H5" i="71"/>
  <c r="P7" i="81"/>
  <c r="C18" i="83" s="1"/>
  <c r="C11" i="39"/>
  <c r="C5" i="81"/>
  <c r="D12" i="81"/>
  <c r="C23" i="48"/>
  <c r="K13" i="71" l="1"/>
  <c r="K12" i="71"/>
  <c r="K11" i="71"/>
  <c r="J7" i="71"/>
  <c r="F11" i="71" s="1"/>
  <c r="F14" i="71" s="1"/>
  <c r="J9" i="71"/>
  <c r="C9" i="83"/>
  <c r="C25" i="83"/>
  <c r="C26" i="83"/>
  <c r="C8" i="83"/>
  <c r="D12" i="75"/>
  <c r="F12" i="75"/>
  <c r="E12" i="75"/>
  <c r="H12" i="75"/>
  <c r="I12" i="75"/>
  <c r="K12" i="75"/>
  <c r="L12" i="75"/>
  <c r="J12" i="75"/>
  <c r="G12" i="75"/>
  <c r="C24" i="39"/>
  <c r="M8" i="75"/>
  <c r="M6" i="75"/>
  <c r="L6" i="75"/>
  <c r="K6" i="75"/>
  <c r="J6" i="75"/>
  <c r="I6" i="75"/>
  <c r="H6" i="75"/>
  <c r="G6" i="75"/>
  <c r="F6" i="75"/>
  <c r="E6" i="75"/>
  <c r="J79" i="39"/>
  <c r="I65" i="39"/>
  <c r="I78" i="39"/>
  <c r="I77" i="39"/>
  <c r="I76" i="39"/>
  <c r="I75" i="39"/>
  <c r="I74" i="39"/>
  <c r="I73" i="39"/>
  <c r="I72" i="39"/>
  <c r="I71" i="39"/>
  <c r="I70" i="39"/>
  <c r="I69" i="39"/>
  <c r="I68" i="39"/>
  <c r="I67" i="39"/>
  <c r="I66" i="39"/>
  <c r="I64" i="39"/>
  <c r="I63" i="39"/>
  <c r="I62" i="39"/>
  <c r="I61" i="39"/>
  <c r="I60" i="39"/>
  <c r="I59" i="39"/>
  <c r="I58" i="39"/>
  <c r="I57" i="39"/>
  <c r="I56" i="39"/>
  <c r="I55" i="39"/>
  <c r="I54" i="39"/>
  <c r="I53" i="39"/>
  <c r="I52" i="39"/>
  <c r="I51" i="39"/>
  <c r="I50" i="39"/>
  <c r="I49" i="39"/>
  <c r="I48" i="39"/>
  <c r="I47" i="39"/>
  <c r="I46" i="39"/>
  <c r="I45" i="39"/>
  <c r="I44" i="39"/>
  <c r="I43" i="39"/>
  <c r="I42" i="39"/>
  <c r="I41" i="39"/>
  <c r="I40" i="39"/>
  <c r="I39" i="39"/>
  <c r="I38" i="39"/>
  <c r="I37" i="39"/>
  <c r="I36" i="39"/>
  <c r="I35" i="39"/>
  <c r="I34" i="39"/>
  <c r="I33" i="39"/>
  <c r="I32" i="39"/>
  <c r="I31" i="39"/>
  <c r="I30" i="39"/>
  <c r="I29" i="39"/>
  <c r="I28" i="39"/>
  <c r="I27" i="39"/>
  <c r="I26" i="39"/>
  <c r="I25" i="39"/>
  <c r="I24" i="39"/>
  <c r="I23" i="39"/>
  <c r="I22" i="39"/>
  <c r="I21" i="39"/>
  <c r="I20" i="39"/>
  <c r="I19" i="39"/>
  <c r="I18" i="39"/>
  <c r="I17" i="39"/>
  <c r="I16" i="39"/>
  <c r="I15" i="39"/>
  <c r="I14" i="39"/>
  <c r="I13" i="39"/>
  <c r="I12" i="39"/>
  <c r="I11" i="39"/>
  <c r="I10" i="39"/>
  <c r="I9" i="39"/>
  <c r="I8" i="39"/>
  <c r="I7" i="39"/>
  <c r="I79" i="39" s="1"/>
  <c r="G78" i="39"/>
  <c r="G77" i="39"/>
  <c r="G76" i="39"/>
  <c r="G75" i="39"/>
  <c r="G74" i="39"/>
  <c r="G73" i="39"/>
  <c r="G72" i="39"/>
  <c r="G71" i="39"/>
  <c r="G70" i="39"/>
  <c r="G69" i="39"/>
  <c r="G68" i="39"/>
  <c r="G67" i="39"/>
  <c r="G66" i="39"/>
  <c r="G65" i="39"/>
  <c r="G64" i="39"/>
  <c r="G63" i="39"/>
  <c r="G62" i="39"/>
  <c r="G61" i="39"/>
  <c r="G60" i="39"/>
  <c r="G59" i="39"/>
  <c r="G58" i="39"/>
  <c r="G57" i="39"/>
  <c r="G56" i="39"/>
  <c r="G55" i="39"/>
  <c r="G54" i="39"/>
  <c r="G53" i="39"/>
  <c r="G52" i="39"/>
  <c r="G51" i="39"/>
  <c r="G50" i="39"/>
  <c r="G49" i="39"/>
  <c r="G48" i="39"/>
  <c r="G47" i="39"/>
  <c r="G46" i="39"/>
  <c r="G45" i="39"/>
  <c r="G44" i="39"/>
  <c r="G43" i="39"/>
  <c r="G42" i="39"/>
  <c r="G41" i="39"/>
  <c r="G40" i="39"/>
  <c r="G39" i="39"/>
  <c r="G38" i="39"/>
  <c r="G37" i="39"/>
  <c r="G36" i="39"/>
  <c r="G35" i="39"/>
  <c r="G34" i="39"/>
  <c r="G33" i="39"/>
  <c r="G32" i="39"/>
  <c r="G31" i="39"/>
  <c r="G30" i="39"/>
  <c r="G29" i="39"/>
  <c r="G28" i="39"/>
  <c r="G27" i="39"/>
  <c r="G26" i="39"/>
  <c r="G25" i="39"/>
  <c r="G24" i="39"/>
  <c r="G23" i="39"/>
  <c r="G22" i="39"/>
  <c r="G21" i="39"/>
  <c r="G20" i="39"/>
  <c r="G19" i="39"/>
  <c r="G18" i="39"/>
  <c r="G17" i="39"/>
  <c r="G16" i="39"/>
  <c r="G15" i="39"/>
  <c r="G14" i="39"/>
  <c r="G13" i="39"/>
  <c r="G12" i="39"/>
  <c r="G11" i="39"/>
  <c r="G10" i="39"/>
  <c r="G9" i="39"/>
  <c r="G8" i="39"/>
  <c r="G7" i="39"/>
  <c r="G6" i="39"/>
  <c r="I6" i="35"/>
  <c r="H6" i="35"/>
  <c r="G6" i="35"/>
  <c r="F6" i="35"/>
  <c r="J6" i="35"/>
  <c r="C19" i="35"/>
  <c r="I5" i="35"/>
  <c r="H5" i="35"/>
  <c r="G5" i="35"/>
  <c r="F5" i="35"/>
  <c r="J5" i="35"/>
  <c r="I8" i="32"/>
  <c r="H8" i="32"/>
  <c r="G8" i="32"/>
  <c r="F8" i="32"/>
  <c r="K8" i="32" s="1"/>
  <c r="J8" i="32"/>
  <c r="I6" i="32"/>
  <c r="H6" i="32"/>
  <c r="G6" i="32"/>
  <c r="F6" i="32"/>
  <c r="J6" i="32"/>
  <c r="I5" i="32"/>
  <c r="H5" i="32"/>
  <c r="G5" i="32"/>
  <c r="F5" i="32"/>
  <c r="J5" i="32"/>
  <c r="J28" i="32"/>
  <c r="J22" i="32"/>
  <c r="I20" i="32"/>
  <c r="J20" i="32"/>
  <c r="I18" i="32"/>
  <c r="H18" i="32"/>
  <c r="G18" i="32"/>
  <c r="F18" i="32"/>
  <c r="J18" i="32"/>
  <c r="J16" i="32"/>
  <c r="F16" i="32"/>
  <c r="I14" i="32"/>
  <c r="H14" i="32"/>
  <c r="G14" i="32"/>
  <c r="F14" i="32"/>
  <c r="J14" i="32"/>
  <c r="J13" i="32"/>
  <c r="I13" i="32"/>
  <c r="H13" i="32"/>
  <c r="G13" i="32"/>
  <c r="F13" i="32"/>
  <c r="F37" i="49"/>
  <c r="E37" i="49"/>
  <c r="D37" i="49"/>
  <c r="C37" i="49"/>
  <c r="G37" i="49"/>
  <c r="C44" i="85"/>
  <c r="C45" i="85" s="1"/>
  <c r="C42" i="85"/>
  <c r="C33" i="85"/>
  <c r="C27" i="85"/>
  <c r="C21" i="85"/>
  <c r="C13" i="85"/>
  <c r="D44" i="85"/>
  <c r="D45" i="85" s="1"/>
  <c r="D42" i="85"/>
  <c r="D33" i="85"/>
  <c r="D27" i="85"/>
  <c r="D21" i="85"/>
  <c r="D13" i="85"/>
  <c r="E44" i="85"/>
  <c r="E45" i="85" s="1"/>
  <c r="E42" i="85"/>
  <c r="E33" i="85"/>
  <c r="E27" i="85"/>
  <c r="E21" i="85"/>
  <c r="E13" i="85"/>
  <c r="G13" i="85"/>
  <c r="G21" i="85" s="1"/>
  <c r="F13" i="85"/>
  <c r="F42" i="85"/>
  <c r="F44" i="85" s="1"/>
  <c r="F27" i="85"/>
  <c r="F33" i="85" s="1"/>
  <c r="F21" i="85"/>
  <c r="G42" i="85"/>
  <c r="G44" i="85" s="1"/>
  <c r="G27" i="85"/>
  <c r="G33" i="85" s="1"/>
  <c r="M19" i="79"/>
  <c r="M18" i="79"/>
  <c r="L17" i="79"/>
  <c r="K17" i="79"/>
  <c r="J17" i="79"/>
  <c r="I17" i="79"/>
  <c r="M17" i="79"/>
  <c r="L16" i="79"/>
  <c r="K16" i="79"/>
  <c r="J16" i="79"/>
  <c r="I16" i="79"/>
  <c r="M16" i="79"/>
  <c r="F19" i="68"/>
  <c r="H10" i="68"/>
  <c r="H9" i="68"/>
  <c r="H8" i="68"/>
  <c r="J10" i="68"/>
  <c r="J6" i="68"/>
  <c r="I11" i="68"/>
  <c r="J9" i="68" s="1"/>
  <c r="O79" i="67"/>
  <c r="O68" i="67"/>
  <c r="O63" i="67"/>
  <c r="O59" i="67"/>
  <c r="O57" i="67"/>
  <c r="O44" i="67"/>
  <c r="O42" i="67"/>
  <c r="O28" i="67"/>
  <c r="O23" i="67"/>
  <c r="O15" i="67"/>
  <c r="O13" i="67"/>
  <c r="M79" i="67"/>
  <c r="M59" i="67"/>
  <c r="M78" i="67"/>
  <c r="M77" i="67"/>
  <c r="M76" i="67"/>
  <c r="M75" i="67"/>
  <c r="M73" i="67"/>
  <c r="M72" i="67"/>
  <c r="M71" i="67"/>
  <c r="M70" i="67"/>
  <c r="M68" i="67"/>
  <c r="M67" i="67"/>
  <c r="M66" i="67"/>
  <c r="M65" i="67"/>
  <c r="M64" i="67"/>
  <c r="M63" i="67"/>
  <c r="M62" i="67"/>
  <c r="M61" i="67"/>
  <c r="M60" i="67"/>
  <c r="M57" i="67"/>
  <c r="M55" i="67"/>
  <c r="M54" i="67"/>
  <c r="M53" i="67"/>
  <c r="M52" i="67"/>
  <c r="M51" i="67"/>
  <c r="M50" i="67"/>
  <c r="M49" i="67"/>
  <c r="M47" i="67"/>
  <c r="M46" i="67"/>
  <c r="M43" i="67"/>
  <c r="M42" i="67"/>
  <c r="M41" i="67"/>
  <c r="M39" i="67"/>
  <c r="M38" i="67"/>
  <c r="M37" i="67"/>
  <c r="M36" i="67"/>
  <c r="M35" i="67"/>
  <c r="M34" i="67"/>
  <c r="M33" i="67"/>
  <c r="M32" i="67"/>
  <c r="M28" i="67"/>
  <c r="M24" i="67"/>
  <c r="M23" i="67"/>
  <c r="M22" i="67"/>
  <c r="M21" i="67"/>
  <c r="M20" i="67"/>
  <c r="M19" i="67"/>
  <c r="M18" i="67"/>
  <c r="M17" i="67"/>
  <c r="M15" i="67"/>
  <c r="M14" i="67"/>
  <c r="M13" i="67"/>
  <c r="M12" i="67"/>
  <c r="M10" i="67"/>
  <c r="M9" i="67"/>
  <c r="M8" i="67"/>
  <c r="K79" i="67"/>
  <c r="K78" i="67"/>
  <c r="K77" i="67"/>
  <c r="K76" i="67"/>
  <c r="K75" i="67"/>
  <c r="K73" i="67"/>
  <c r="K72" i="67"/>
  <c r="K71" i="67"/>
  <c r="K70" i="67"/>
  <c r="K69" i="67"/>
  <c r="K68" i="67"/>
  <c r="K67" i="67"/>
  <c r="K66" i="67"/>
  <c r="K65" i="67"/>
  <c r="K64" i="67"/>
  <c r="K63" i="67"/>
  <c r="K62" i="67"/>
  <c r="K61" i="67"/>
  <c r="K60" i="67"/>
  <c r="K59" i="67"/>
  <c r="K58" i="67"/>
  <c r="K57" i="67"/>
  <c r="K56" i="67"/>
  <c r="K55" i="67"/>
  <c r="K54" i="67"/>
  <c r="K53" i="67"/>
  <c r="K52" i="67"/>
  <c r="K51" i="67"/>
  <c r="K50" i="67"/>
  <c r="K49" i="67"/>
  <c r="K47" i="67"/>
  <c r="K46" i="67"/>
  <c r="K45" i="67"/>
  <c r="K44" i="67"/>
  <c r="K43" i="67"/>
  <c r="K42" i="67"/>
  <c r="K41" i="67"/>
  <c r="K40" i="67"/>
  <c r="K39" i="67"/>
  <c r="K38" i="67"/>
  <c r="K37" i="67"/>
  <c r="K36" i="67"/>
  <c r="K35" i="67"/>
  <c r="K34" i="67"/>
  <c r="K33" i="67"/>
  <c r="K32" i="67"/>
  <c r="K31" i="67"/>
  <c r="K30" i="67"/>
  <c r="K29" i="67"/>
  <c r="K28" i="67"/>
  <c r="K27" i="67"/>
  <c r="K26" i="67"/>
  <c r="K25" i="67"/>
  <c r="K24" i="67"/>
  <c r="K23" i="67"/>
  <c r="K22" i="67"/>
  <c r="K21" i="67"/>
  <c r="K20" i="67"/>
  <c r="K19" i="67"/>
  <c r="K18" i="67"/>
  <c r="K17" i="67"/>
  <c r="K16" i="67"/>
  <c r="K15" i="67"/>
  <c r="K14" i="67"/>
  <c r="K13" i="67"/>
  <c r="K12" i="67"/>
  <c r="K11" i="67"/>
  <c r="K10" i="67"/>
  <c r="K9" i="67"/>
  <c r="K8" i="67"/>
  <c r="K7" i="67"/>
  <c r="K6" i="67"/>
  <c r="J79" i="67"/>
  <c r="J78" i="67"/>
  <c r="J77" i="67"/>
  <c r="J76" i="67"/>
  <c r="J75" i="67"/>
  <c r="J73" i="67"/>
  <c r="J72" i="67"/>
  <c r="J71" i="67"/>
  <c r="J70" i="67"/>
  <c r="J69" i="67"/>
  <c r="J68" i="67"/>
  <c r="J67" i="67"/>
  <c r="J66" i="67"/>
  <c r="J65" i="67"/>
  <c r="J64" i="67"/>
  <c r="J63" i="67"/>
  <c r="J62" i="67"/>
  <c r="J61" i="67"/>
  <c r="J60" i="67"/>
  <c r="J59" i="67"/>
  <c r="J58" i="67"/>
  <c r="J57" i="67"/>
  <c r="J56" i="67"/>
  <c r="J55" i="67"/>
  <c r="J54" i="67"/>
  <c r="J53" i="67"/>
  <c r="J52" i="67"/>
  <c r="J51" i="67"/>
  <c r="J50" i="67"/>
  <c r="J49" i="67"/>
  <c r="J47" i="67"/>
  <c r="J46" i="67"/>
  <c r="J45" i="67"/>
  <c r="J44" i="67"/>
  <c r="J43" i="67"/>
  <c r="J42" i="67"/>
  <c r="J41" i="67"/>
  <c r="J40" i="67"/>
  <c r="J39" i="67"/>
  <c r="J38" i="67"/>
  <c r="J37" i="67"/>
  <c r="J36" i="67"/>
  <c r="J35" i="67"/>
  <c r="J34" i="67"/>
  <c r="J33" i="67"/>
  <c r="J32" i="67"/>
  <c r="J31" i="67"/>
  <c r="J30" i="67"/>
  <c r="J29" i="67"/>
  <c r="J28" i="67"/>
  <c r="J27" i="67"/>
  <c r="J26" i="67"/>
  <c r="J25" i="67"/>
  <c r="J24" i="67"/>
  <c r="J23" i="67"/>
  <c r="J22" i="67"/>
  <c r="J21" i="67"/>
  <c r="J20" i="67"/>
  <c r="J19" i="67"/>
  <c r="J18" i="67"/>
  <c r="J17" i="67"/>
  <c r="J16" i="67"/>
  <c r="J15" i="67"/>
  <c r="J14" i="67"/>
  <c r="J13" i="67"/>
  <c r="J12" i="67"/>
  <c r="J11" i="67"/>
  <c r="J10" i="67"/>
  <c r="J9" i="67"/>
  <c r="J8" i="67"/>
  <c r="J7" i="67"/>
  <c r="J6" i="67"/>
  <c r="I78" i="67"/>
  <c r="I77" i="67"/>
  <c r="I76" i="67"/>
  <c r="I75"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7" i="67"/>
  <c r="I46" i="67"/>
  <c r="I45" i="67"/>
  <c r="I44" i="67"/>
  <c r="I43" i="67"/>
  <c r="I42" i="67"/>
  <c r="I41" i="67"/>
  <c r="I40" i="67"/>
  <c r="I39" i="67"/>
  <c r="I38" i="67"/>
  <c r="I37" i="67"/>
  <c r="I36" i="67"/>
  <c r="I35" i="67"/>
  <c r="I34" i="67"/>
  <c r="I33" i="67"/>
  <c r="I32" i="67"/>
  <c r="I31" i="67"/>
  <c r="I30" i="67"/>
  <c r="I29" i="67"/>
  <c r="I28" i="67"/>
  <c r="I27" i="67"/>
  <c r="I26" i="67"/>
  <c r="I25" i="67"/>
  <c r="I24" i="67"/>
  <c r="I23" i="67"/>
  <c r="I22" i="67"/>
  <c r="I21" i="67"/>
  <c r="I20" i="67"/>
  <c r="I19" i="67"/>
  <c r="I18" i="67"/>
  <c r="I17" i="67"/>
  <c r="I16" i="67"/>
  <c r="I15" i="67"/>
  <c r="I14" i="67"/>
  <c r="I13" i="67"/>
  <c r="I12" i="67"/>
  <c r="I11" i="67"/>
  <c r="I10" i="67"/>
  <c r="I9" i="67"/>
  <c r="I8" i="67"/>
  <c r="I7" i="67"/>
  <c r="I6" i="67"/>
  <c r="G78" i="67"/>
  <c r="G77" i="67"/>
  <c r="G76" i="67"/>
  <c r="G75" i="67"/>
  <c r="G73" i="67"/>
  <c r="G72" i="67"/>
  <c r="G71" i="67"/>
  <c r="G70" i="67"/>
  <c r="G69" i="67"/>
  <c r="G68" i="67"/>
  <c r="G67" i="67"/>
  <c r="G66" i="67"/>
  <c r="G65" i="67"/>
  <c r="G64" i="67"/>
  <c r="G63" i="67"/>
  <c r="G62" i="67"/>
  <c r="G61" i="67"/>
  <c r="G60" i="67"/>
  <c r="G59" i="67"/>
  <c r="G58" i="67"/>
  <c r="G57" i="67"/>
  <c r="G56" i="67"/>
  <c r="G55" i="67"/>
  <c r="G54" i="67"/>
  <c r="G53" i="67"/>
  <c r="G52" i="67"/>
  <c r="G51" i="67"/>
  <c r="G50" i="67"/>
  <c r="G49" i="67"/>
  <c r="G47" i="67"/>
  <c r="G46" i="67"/>
  <c r="G45" i="67"/>
  <c r="G44" i="67"/>
  <c r="G43" i="67"/>
  <c r="G42" i="67"/>
  <c r="G41" i="67"/>
  <c r="G40" i="67"/>
  <c r="G39" i="67"/>
  <c r="G38" i="67"/>
  <c r="G37" i="67"/>
  <c r="G36" i="67"/>
  <c r="G35" i="67"/>
  <c r="G34" i="67"/>
  <c r="G33" i="67"/>
  <c r="G32" i="67"/>
  <c r="G31" i="67"/>
  <c r="G30" i="67"/>
  <c r="G29" i="67"/>
  <c r="G28" i="67"/>
  <c r="G27" i="67"/>
  <c r="G26" i="67"/>
  <c r="G25" i="67"/>
  <c r="G24" i="67"/>
  <c r="G23" i="67"/>
  <c r="G22" i="67"/>
  <c r="G21" i="67"/>
  <c r="G20" i="67"/>
  <c r="G19" i="67"/>
  <c r="G18" i="67"/>
  <c r="G17" i="67"/>
  <c r="G16" i="67"/>
  <c r="G15" i="67"/>
  <c r="G14" i="67"/>
  <c r="G13" i="67"/>
  <c r="G12" i="67"/>
  <c r="G11" i="67"/>
  <c r="G10" i="67"/>
  <c r="G9" i="67"/>
  <c r="G8" i="67"/>
  <c r="G7" i="67"/>
  <c r="G6" i="67"/>
  <c r="J11" i="71" l="1"/>
  <c r="H11" i="71"/>
  <c r="H14" i="71" s="1"/>
  <c r="K14" i="71"/>
  <c r="K5" i="35"/>
  <c r="K6" i="35"/>
  <c r="F45" i="85"/>
  <c r="G45" i="85"/>
  <c r="J7" i="68"/>
  <c r="I14" i="68"/>
  <c r="J8" i="68"/>
  <c r="J5" i="68"/>
  <c r="F11" i="68" s="1"/>
  <c r="J11" i="68"/>
  <c r="D79" i="67"/>
  <c r="H19" i="24"/>
  <c r="G19" i="24"/>
  <c r="F19" i="24"/>
  <c r="D32" i="24"/>
  <c r="G33" i="24" s="1"/>
  <c r="D31" i="24"/>
  <c r="C33" i="24"/>
  <c r="H14" i="24"/>
  <c r="G14" i="24"/>
  <c r="F14" i="24"/>
  <c r="F27" i="24"/>
  <c r="G27" i="24"/>
  <c r="E27" i="24"/>
  <c r="D27" i="24"/>
  <c r="D26" i="24"/>
  <c r="D25" i="24"/>
  <c r="C27" i="24"/>
  <c r="C11" i="24"/>
  <c r="F18" i="68" l="1"/>
  <c r="K13" i="68"/>
  <c r="K12" i="68"/>
  <c r="K11" i="68"/>
  <c r="K14" i="68" s="1"/>
  <c r="D33" i="24"/>
  <c r="E33" i="24"/>
  <c r="F33" i="24"/>
  <c r="F14" i="68" l="1"/>
  <c r="C12" i="24"/>
  <c r="C20" i="24" s="1"/>
  <c r="G11" i="84"/>
  <c r="F11" i="84"/>
  <c r="E11" i="84"/>
  <c r="D11" i="84"/>
  <c r="C11" i="84"/>
  <c r="G7" i="84"/>
  <c r="F7" i="84"/>
  <c r="E7" i="84"/>
  <c r="D7" i="84"/>
  <c r="C7" i="84"/>
  <c r="C23" i="84"/>
  <c r="C18" i="84"/>
  <c r="D23" i="84"/>
  <c r="D18" i="84"/>
  <c r="E23" i="84"/>
  <c r="E18" i="84"/>
  <c r="F23" i="84"/>
  <c r="F18" i="84"/>
  <c r="G23" i="84"/>
  <c r="G18" i="84"/>
  <c r="C16" i="79"/>
  <c r="F19" i="66"/>
  <c r="D16" i="24" l="1"/>
  <c r="D19" i="24"/>
  <c r="D15" i="24"/>
  <c r="D18" i="24"/>
  <c r="D14" i="24"/>
  <c r="D17" i="24"/>
  <c r="D19" i="84"/>
  <c r="D24" i="84" s="1"/>
  <c r="D26" i="84" s="1"/>
  <c r="C19" i="84"/>
  <c r="C24" i="84" s="1"/>
  <c r="C26" i="84" s="1"/>
  <c r="G19" i="84"/>
  <c r="G24" i="84" s="1"/>
  <c r="G26" i="84" s="1"/>
  <c r="F19" i="84"/>
  <c r="F24" i="84" s="1"/>
  <c r="F26" i="84" s="1"/>
  <c r="E19" i="84"/>
  <c r="E24" i="84" s="1"/>
  <c r="E26" i="84" s="1"/>
  <c r="J24" i="79"/>
  <c r="J23" i="79"/>
  <c r="J25" i="79" l="1"/>
  <c r="H14" i="79" l="1"/>
  <c r="D11" i="77" l="1"/>
  <c r="E11" i="77" s="1"/>
  <c r="F11" i="77" s="1"/>
  <c r="B11" i="77"/>
  <c r="F7" i="77"/>
  <c r="E7" i="77"/>
  <c r="D7" i="77"/>
  <c r="C7" i="77"/>
  <c r="G7" i="77"/>
  <c r="D4" i="77"/>
  <c r="E4" i="77" s="1"/>
  <c r="F4" i="77" s="1"/>
  <c r="G4" i="77" s="1"/>
  <c r="B4" i="77"/>
  <c r="H3" i="79"/>
  <c r="C17" i="79"/>
  <c r="C27" i="81"/>
  <c r="C21" i="48"/>
  <c r="C6" i="43"/>
  <c r="C5" i="43"/>
  <c r="C8" i="40"/>
  <c r="E20" i="77"/>
  <c r="D20" i="77"/>
  <c r="C20" i="77"/>
  <c r="F20" i="77"/>
  <c r="E21" i="77"/>
  <c r="D21" i="77"/>
  <c r="D22" i="77" s="1"/>
  <c r="C21" i="77"/>
  <c r="F21" i="77"/>
  <c r="E15" i="77"/>
  <c r="D15" i="77"/>
  <c r="C15" i="77"/>
  <c r="F15" i="77"/>
  <c r="E14" i="77"/>
  <c r="D14" i="77"/>
  <c r="C14" i="77"/>
  <c r="F14" i="77"/>
  <c r="D4" i="87"/>
  <c r="E4" i="87" s="1"/>
  <c r="F4" i="87" s="1"/>
  <c r="G4" i="87" s="1"/>
  <c r="B4" i="87"/>
  <c r="I26" i="32"/>
  <c r="H26" i="32"/>
  <c r="G26" i="32"/>
  <c r="F26" i="32"/>
  <c r="J26" i="32"/>
  <c r="I19" i="32"/>
  <c r="H19" i="32"/>
  <c r="G19" i="32"/>
  <c r="F19" i="32"/>
  <c r="J19" i="32"/>
  <c r="I17" i="32"/>
  <c r="H17" i="32"/>
  <c r="G17" i="32"/>
  <c r="F17" i="32"/>
  <c r="J17" i="32"/>
  <c r="I15" i="32"/>
  <c r="H15" i="32"/>
  <c r="G15" i="32"/>
  <c r="F15" i="32"/>
  <c r="J15" i="32"/>
  <c r="I12" i="32"/>
  <c r="H12" i="32"/>
  <c r="G12" i="32"/>
  <c r="F12" i="32"/>
  <c r="J12" i="32"/>
  <c r="F38" i="49"/>
  <c r="E38" i="49"/>
  <c r="D38" i="49"/>
  <c r="C38" i="49"/>
  <c r="G38" i="49"/>
  <c r="F36" i="49"/>
  <c r="E36" i="49"/>
  <c r="D36" i="49"/>
  <c r="C36" i="49"/>
  <c r="G36" i="49"/>
  <c r="F29" i="49"/>
  <c r="E29" i="49"/>
  <c r="D29" i="49"/>
  <c r="C29" i="49"/>
  <c r="G29" i="49"/>
  <c r="F28" i="49"/>
  <c r="E28" i="49"/>
  <c r="D28" i="49"/>
  <c r="C28" i="49"/>
  <c r="G28" i="49"/>
  <c r="F27" i="49"/>
  <c r="E27" i="49"/>
  <c r="D27" i="49"/>
  <c r="C27" i="49"/>
  <c r="G27" i="49"/>
  <c r="F26" i="49"/>
  <c r="E26" i="49"/>
  <c r="D26" i="49"/>
  <c r="C26" i="49"/>
  <c r="G26" i="49"/>
  <c r="E39" i="49"/>
  <c r="C39" i="49"/>
  <c r="D39" i="49"/>
  <c r="G39" i="49"/>
  <c r="F39" i="49"/>
  <c r="D4" i="85"/>
  <c r="E4" i="85" s="1"/>
  <c r="F4" i="85" s="1"/>
  <c r="G4" i="85" s="1"/>
  <c r="B4" i="85"/>
  <c r="F10" i="49"/>
  <c r="E10" i="49"/>
  <c r="D10" i="49"/>
  <c r="C10" i="49"/>
  <c r="G10" i="49"/>
  <c r="F9" i="49"/>
  <c r="E9" i="49"/>
  <c r="D9" i="49"/>
  <c r="C9" i="49"/>
  <c r="G9" i="49"/>
  <c r="F8" i="49"/>
  <c r="E8" i="49"/>
  <c r="D8" i="49"/>
  <c r="C8" i="49"/>
  <c r="G8" i="49"/>
  <c r="F6" i="49"/>
  <c r="E6" i="49"/>
  <c r="D6" i="49"/>
  <c r="C6" i="49"/>
  <c r="G6" i="49"/>
  <c r="F5" i="49"/>
  <c r="E5" i="49"/>
  <c r="D5" i="49"/>
  <c r="C5" i="49"/>
  <c r="G5" i="49"/>
  <c r="L18" i="79"/>
  <c r="D4" i="84"/>
  <c r="E4" i="84" s="1"/>
  <c r="F4" i="84" s="1"/>
  <c r="G4" i="84" s="1"/>
  <c r="B4" i="84"/>
  <c r="G8" i="77" l="1"/>
  <c r="C22" i="77"/>
  <c r="G15" i="77"/>
  <c r="E22" i="77"/>
  <c r="F22" i="77"/>
  <c r="C44" i="49"/>
  <c r="E47" i="85"/>
  <c r="F47" i="85"/>
  <c r="G47" i="85"/>
  <c r="D47" i="85"/>
  <c r="C47" i="85"/>
  <c r="K18" i="79"/>
  <c r="J18" i="79"/>
  <c r="I18" i="79"/>
  <c r="E17" i="68"/>
  <c r="C57" i="69"/>
  <c r="C56" i="69"/>
  <c r="C55" i="69"/>
  <c r="C54" i="69"/>
  <c r="C53" i="69"/>
  <c r="C52" i="69"/>
  <c r="C51" i="69"/>
  <c r="C50" i="69"/>
  <c r="C49" i="69"/>
  <c r="C48" i="69"/>
  <c r="C45" i="69"/>
  <c r="C44" i="69"/>
  <c r="C43" i="69"/>
  <c r="C42" i="69"/>
  <c r="C41" i="69"/>
  <c r="C40" i="69"/>
  <c r="C39" i="69"/>
  <c r="C38" i="69"/>
  <c r="C37" i="69"/>
  <c r="C36" i="69"/>
  <c r="C35" i="69"/>
  <c r="C5" i="69"/>
  <c r="P12" i="81"/>
  <c r="D6" i="81"/>
  <c r="D5" i="81" s="1"/>
  <c r="D13" i="81" s="1"/>
  <c r="M6" i="81"/>
  <c r="L6" i="81"/>
  <c r="K6" i="81"/>
  <c r="J6" i="81"/>
  <c r="I6" i="81"/>
  <c r="H6" i="81"/>
  <c r="G6" i="81"/>
  <c r="F6" i="81"/>
  <c r="E6" i="81"/>
  <c r="M7" i="81"/>
  <c r="C29" i="81"/>
  <c r="B4" i="81"/>
  <c r="F12" i="77" l="1"/>
  <c r="G6" i="87"/>
  <c r="C12" i="77"/>
  <c r="D6" i="87"/>
  <c r="E12" i="77"/>
  <c r="F6" i="87"/>
  <c r="D12" i="77"/>
  <c r="E6" i="87"/>
  <c r="E5" i="81"/>
  <c r="G12" i="77" l="1"/>
  <c r="F5" i="81"/>
  <c r="G5" i="81" l="1"/>
  <c r="H5" i="81" l="1"/>
  <c r="I5" i="81" l="1"/>
  <c r="J5" i="81" l="1"/>
  <c r="K5" i="81" l="1"/>
  <c r="L5" i="81" l="1"/>
  <c r="M5" i="81" l="1"/>
  <c r="E12" i="57" l="1"/>
  <c r="F12" i="57" s="1"/>
  <c r="G12" i="57" s="1"/>
  <c r="H12" i="57" s="1"/>
  <c r="I12" i="57" s="1"/>
  <c r="J12" i="57" s="1"/>
  <c r="K12" i="57" s="1"/>
  <c r="L12" i="57" s="1"/>
  <c r="M12" i="57" s="1"/>
  <c r="D12" i="57"/>
  <c r="B12" i="57"/>
  <c r="F7" i="57"/>
  <c r="E7" i="57"/>
  <c r="D7" i="57"/>
  <c r="C7" i="57"/>
  <c r="G7" i="57"/>
  <c r="G8" i="57" s="1"/>
  <c r="C13" i="57" s="1"/>
  <c r="C15" i="57" s="1"/>
  <c r="D5" i="57"/>
  <c r="E5" i="57" s="1"/>
  <c r="F5" i="57" s="1"/>
  <c r="G5" i="57" s="1"/>
  <c r="B5" i="57"/>
  <c r="C25" i="48"/>
  <c r="B11" i="48"/>
  <c r="B4" i="48"/>
  <c r="C7" i="43"/>
  <c r="B4" i="43"/>
  <c r="B4" i="40"/>
  <c r="C5" i="75"/>
  <c r="B4" i="75"/>
  <c r="E3" i="39"/>
  <c r="B3" i="67"/>
  <c r="C14" i="57" l="1"/>
  <c r="G4" i="35"/>
  <c r="H4" i="35" s="1"/>
  <c r="I4" i="35" s="1"/>
  <c r="J4" i="35" s="1"/>
  <c r="E4" i="35"/>
  <c r="B15" i="35"/>
  <c r="B4" i="35"/>
  <c r="G11" i="32"/>
  <c r="H11" i="32" s="1"/>
  <c r="I11" i="32" s="1"/>
  <c r="J11" i="32" s="1"/>
  <c r="E11" i="32"/>
  <c r="G4" i="32"/>
  <c r="H4" i="32" s="1"/>
  <c r="I4" i="32" s="1"/>
  <c r="J4" i="32" s="1"/>
  <c r="E4" i="32"/>
  <c r="B26" i="32"/>
  <c r="B14" i="32"/>
  <c r="B4" i="32"/>
  <c r="F15" i="49"/>
  <c r="E15" i="49"/>
  <c r="D15" i="49"/>
  <c r="C15" i="49"/>
  <c r="G15" i="49"/>
  <c r="O23" i="49" l="1"/>
  <c r="L21" i="49"/>
  <c r="K9" i="49"/>
  <c r="K8" i="49"/>
  <c r="L8" i="49"/>
  <c r="K7" i="49"/>
  <c r="M7" i="49"/>
  <c r="M5" i="49"/>
  <c r="L5" i="49"/>
  <c r="L20" i="49" s="1"/>
  <c r="K5" i="49"/>
  <c r="K20" i="49" s="1"/>
  <c r="J5" i="49"/>
  <c r="J21" i="49" s="1"/>
  <c r="N5" i="49"/>
  <c r="K4" i="49"/>
  <c r="L4" i="49" s="1"/>
  <c r="M4" i="49" s="1"/>
  <c r="N4" i="49" s="1"/>
  <c r="I4" i="49"/>
  <c r="D35" i="49"/>
  <c r="E35" i="49" s="1"/>
  <c r="F35" i="49" s="1"/>
  <c r="G35" i="49" s="1"/>
  <c r="B35" i="49"/>
  <c r="B24" i="49"/>
  <c r="B4" i="49"/>
  <c r="D24" i="49"/>
  <c r="E24" i="49" s="1"/>
  <c r="F24" i="49" s="1"/>
  <c r="G24" i="49" s="1"/>
  <c r="D4" i="49"/>
  <c r="E4" i="49" s="1"/>
  <c r="F4" i="49" s="1"/>
  <c r="G4" i="49" s="1"/>
  <c r="B23" i="23"/>
  <c r="B21" i="23"/>
  <c r="B15" i="23"/>
  <c r="B7" i="23"/>
  <c r="B6" i="23"/>
  <c r="B12" i="23"/>
  <c r="B5" i="23"/>
  <c r="C4" i="68"/>
  <c r="C3" i="68"/>
  <c r="B4" i="68"/>
  <c r="B3" i="68"/>
  <c r="C13" i="68"/>
  <c r="H12" i="24"/>
  <c r="B28" i="79"/>
  <c r="F12" i="24"/>
  <c r="B27" i="79"/>
  <c r="B26" i="79"/>
  <c r="B25" i="79"/>
  <c r="E12" i="24"/>
  <c r="C4" i="24"/>
  <c r="C5" i="24" s="1"/>
  <c r="C3" i="24"/>
  <c r="B22" i="79"/>
  <c r="E18" i="24" l="1"/>
  <c r="E15" i="24"/>
  <c r="E16" i="24"/>
  <c r="E17" i="24"/>
  <c r="E19" i="24"/>
  <c r="K21" i="49"/>
  <c r="O21" i="49"/>
  <c r="K16" i="49"/>
  <c r="M14" i="49"/>
  <c r="M13" i="49"/>
  <c r="J14" i="49"/>
  <c r="J19" i="49"/>
  <c r="J15" i="49"/>
  <c r="J17" i="49"/>
  <c r="O17" i="49" s="1"/>
  <c r="J13" i="49"/>
  <c r="J22" i="49"/>
  <c r="O22" i="49" s="1"/>
  <c r="L15" i="49"/>
  <c r="L14" i="49"/>
  <c r="L19" i="49"/>
  <c r="K14" i="49"/>
  <c r="K13" i="49"/>
  <c r="K15" i="49"/>
  <c r="J16" i="49"/>
  <c r="K19" i="49"/>
  <c r="J20" i="49"/>
  <c r="O20" i="49" s="1"/>
  <c r="O16" i="49" l="1"/>
  <c r="O14" i="49"/>
  <c r="O15" i="49"/>
  <c r="C25" i="39"/>
  <c r="C23" i="39"/>
  <c r="C22" i="39"/>
  <c r="I6" i="39"/>
  <c r="C24" i="35"/>
  <c r="C25" i="35"/>
  <c r="C40" i="49"/>
  <c r="D40" i="49"/>
  <c r="E44" i="49"/>
  <c r="F44" i="49"/>
  <c r="G40" i="49"/>
  <c r="E40" i="49" l="1"/>
  <c r="F40" i="49"/>
  <c r="G44" i="49"/>
  <c r="D44" i="49"/>
  <c r="C17" i="39"/>
  <c r="C18" i="39"/>
  <c r="C15" i="39"/>
  <c r="C16" i="39"/>
  <c r="F20" i="32"/>
  <c r="H20" i="32"/>
  <c r="G20" i="32"/>
  <c r="H16" i="32"/>
  <c r="G16" i="32"/>
  <c r="I16" i="32"/>
  <c r="K6" i="32"/>
  <c r="K5" i="32"/>
  <c r="G7" i="49"/>
  <c r="H7" i="68" l="1"/>
  <c r="H6" i="68"/>
  <c r="H5" i="68"/>
  <c r="H11" i="68" l="1"/>
  <c r="H14" i="68" s="1"/>
  <c r="M12" i="81"/>
  <c r="M13" i="81" s="1"/>
  <c r="E12" i="81"/>
  <c r="E13" i="81" s="1"/>
  <c r="F12" i="81"/>
  <c r="F13" i="81" s="1"/>
  <c r="I12" i="81"/>
  <c r="I13" i="81" s="1"/>
  <c r="K12" i="81"/>
  <c r="K13" i="81" s="1"/>
  <c r="L12" i="81"/>
  <c r="L13" i="81" s="1"/>
  <c r="J12" i="81"/>
  <c r="J13" i="81" s="1"/>
  <c r="G12" i="81"/>
  <c r="G13" i="81" s="1"/>
  <c r="H12" i="81"/>
  <c r="H13" i="81" s="1"/>
  <c r="F21" i="68" l="1"/>
  <c r="W625" i="67" l="1"/>
  <c r="W624" i="67"/>
  <c r="W623" i="67"/>
  <c r="W622" i="67"/>
  <c r="W581" i="67"/>
  <c r="W561" i="67"/>
  <c r="W556" i="67"/>
  <c r="W549" i="67"/>
  <c r="W546" i="67"/>
  <c r="W516" i="67"/>
  <c r="W504" i="67"/>
  <c r="W503" i="67"/>
  <c r="W502" i="67"/>
  <c r="W500" i="67"/>
  <c r="W491" i="67"/>
  <c r="W486" i="67"/>
  <c r="W485" i="67"/>
  <c r="W480" i="67"/>
  <c r="W479" i="67"/>
  <c r="W474" i="67"/>
  <c r="W471" i="67"/>
  <c r="W470" i="67"/>
  <c r="W469" i="67"/>
  <c r="W462" i="67"/>
  <c r="W461" i="67"/>
  <c r="W454" i="67"/>
  <c r="W452" i="67"/>
  <c r="W451" i="67"/>
  <c r="W448" i="67"/>
  <c r="W447" i="67"/>
  <c r="W445" i="67"/>
  <c r="W443" i="67"/>
  <c r="W442" i="67"/>
  <c r="W440" i="67"/>
  <c r="W439" i="67"/>
  <c r="W434" i="67"/>
  <c r="W433" i="67"/>
  <c r="W431" i="67"/>
  <c r="W430" i="67"/>
  <c r="W429" i="67"/>
  <c r="W426" i="67"/>
  <c r="W424" i="67"/>
  <c r="W418" i="67"/>
  <c r="W414" i="67"/>
  <c r="W412" i="67"/>
  <c r="W411" i="67"/>
  <c r="W409" i="67"/>
  <c r="W408" i="67"/>
  <c r="W407" i="67"/>
  <c r="W406" i="67"/>
  <c r="W404" i="67"/>
  <c r="W403" i="67"/>
  <c r="W401" i="67"/>
  <c r="W396" i="67"/>
  <c r="W394" i="67"/>
  <c r="W393" i="67"/>
  <c r="W392" i="67"/>
  <c r="W389" i="67"/>
  <c r="W386" i="67"/>
  <c r="W385" i="67"/>
  <c r="W384" i="67"/>
  <c r="W382" i="67"/>
  <c r="W381" i="67"/>
  <c r="W380" i="67"/>
  <c r="W379" i="67"/>
  <c r="W376" i="67"/>
  <c r="W375" i="67"/>
  <c r="W373" i="67"/>
  <c r="W372" i="67"/>
  <c r="W371" i="67"/>
  <c r="W370" i="67"/>
  <c r="W369" i="67"/>
  <c r="W368" i="67"/>
  <c r="W367" i="67"/>
  <c r="W366" i="67"/>
  <c r="W365" i="67"/>
  <c r="W364" i="67"/>
  <c r="W362" i="67"/>
  <c r="W361" i="67"/>
  <c r="W359" i="67"/>
  <c r="W357" i="67"/>
  <c r="W354" i="67"/>
  <c r="W352" i="67"/>
  <c r="W351" i="67"/>
  <c r="W349" i="67"/>
  <c r="W348" i="67"/>
  <c r="W346" i="67"/>
  <c r="W344" i="67"/>
  <c r="W343" i="67"/>
  <c r="W339" i="67"/>
  <c r="W338" i="67"/>
  <c r="W337" i="67"/>
  <c r="W336" i="67"/>
  <c r="W335" i="67"/>
  <c r="W334" i="67"/>
  <c r="W333" i="67"/>
  <c r="W331" i="67"/>
  <c r="W330" i="67"/>
  <c r="W326" i="67"/>
  <c r="W325" i="67"/>
  <c r="W324" i="67"/>
  <c r="W321" i="67"/>
  <c r="W320" i="67"/>
  <c r="W319" i="67"/>
  <c r="W318" i="67"/>
  <c r="W315" i="67"/>
  <c r="W314" i="67"/>
  <c r="W312" i="67"/>
  <c r="W308" i="67"/>
  <c r="W307" i="67"/>
  <c r="W304" i="67"/>
  <c r="W303" i="67"/>
  <c r="W300" i="67"/>
  <c r="W299" i="67"/>
  <c r="W294" i="67"/>
  <c r="W293" i="67"/>
  <c r="W292" i="67"/>
  <c r="W290" i="67"/>
  <c r="W288" i="67"/>
  <c r="W287" i="67"/>
  <c r="W286" i="67"/>
  <c r="W283" i="67"/>
  <c r="W282" i="67"/>
  <c r="W281" i="67"/>
  <c r="W280" i="67"/>
  <c r="W278" i="67"/>
  <c r="W270" i="67"/>
  <c r="W267" i="67"/>
  <c r="W266" i="67"/>
  <c r="W257" i="67"/>
  <c r="W256" i="67"/>
  <c r="W254" i="67"/>
  <c r="W253" i="67"/>
  <c r="W251" i="67"/>
  <c r="W250" i="67"/>
  <c r="W248" i="67"/>
  <c r="W247" i="67"/>
  <c r="W246" i="67"/>
  <c r="W243" i="67"/>
  <c r="W238" i="67"/>
  <c r="W235" i="67"/>
  <c r="W234" i="67"/>
  <c r="W233" i="67"/>
  <c r="W232" i="67"/>
  <c r="W230" i="67"/>
  <c r="W225" i="67"/>
  <c r="W224" i="67"/>
  <c r="W216" i="67"/>
  <c r="W215" i="67"/>
  <c r="W213" i="67"/>
  <c r="W211" i="67"/>
  <c r="W210" i="67"/>
  <c r="W208" i="67"/>
  <c r="W207" i="67"/>
  <c r="W206" i="67"/>
  <c r="W205" i="67"/>
  <c r="E14" i="24" l="1"/>
  <c r="E13" i="24"/>
  <c r="G20" i="77" l="1"/>
  <c r="G21" i="77"/>
  <c r="G22" i="77" l="1"/>
  <c r="D16" i="77" l="1"/>
  <c r="E16" i="77"/>
  <c r="F16" i="77"/>
  <c r="G14" i="77" l="1"/>
  <c r="C16" i="77"/>
  <c r="G16" i="77" l="1"/>
  <c r="C12" i="71" l="1"/>
  <c r="F22" i="32" l="1"/>
  <c r="C25" i="49" s="1"/>
  <c r="C6" i="32"/>
  <c r="H8" i="49"/>
  <c r="C7" i="49"/>
  <c r="G11" i="49"/>
  <c r="G17" i="49" l="1"/>
  <c r="F27" i="32"/>
  <c r="C26" i="35" l="1"/>
  <c r="C5" i="32"/>
  <c r="C7" i="32" s="1"/>
  <c r="F7" i="32"/>
  <c r="C17" i="32" l="1"/>
  <c r="C20" i="32"/>
  <c r="G25" i="49" l="1"/>
  <c r="J27" i="32"/>
  <c r="C15" i="72"/>
  <c r="G4" i="72"/>
  <c r="H4" i="72" s="1"/>
  <c r="C13" i="69" l="1"/>
  <c r="C12" i="69"/>
  <c r="C11" i="69"/>
  <c r="C10" i="69"/>
  <c r="C9" i="69"/>
  <c r="C8" i="69"/>
  <c r="C7" i="69"/>
  <c r="C6" i="69"/>
  <c r="C4" i="69"/>
  <c r="Z3" i="28" l="1"/>
  <c r="Q3" i="28"/>
  <c r="H3" i="28"/>
  <c r="C14" i="49" l="1"/>
  <c r="E30" i="49"/>
  <c r="D30" i="49"/>
  <c r="C30" i="49"/>
  <c r="F30" i="49"/>
  <c r="C11" i="49"/>
  <c r="C17" i="49" s="1"/>
  <c r="D7" i="49"/>
  <c r="D11" i="49" s="1"/>
  <c r="D17" i="49" s="1"/>
  <c r="E7" i="49"/>
  <c r="E11" i="49" s="1"/>
  <c r="E17" i="49" s="1"/>
  <c r="F7" i="49"/>
  <c r="F11" i="49" s="1"/>
  <c r="F17" i="49" s="1"/>
  <c r="C18" i="49" l="1"/>
  <c r="C31" i="49"/>
  <c r="C32" i="49" s="1"/>
  <c r="C45" i="49" s="1"/>
  <c r="D14" i="49"/>
  <c r="N13" i="49"/>
  <c r="M19" i="49"/>
  <c r="O19" i="49" s="1"/>
  <c r="G14" i="49" s="1"/>
  <c r="E14" i="49"/>
  <c r="C13" i="49"/>
  <c r="L7" i="49"/>
  <c r="L13" i="49" s="1"/>
  <c r="O13" i="49" s="1"/>
  <c r="C19" i="49" l="1"/>
  <c r="C42" i="49" s="1"/>
  <c r="D18" i="49"/>
  <c r="D31" i="49"/>
  <c r="E18" i="49"/>
  <c r="E31" i="49"/>
  <c r="I22" i="32"/>
  <c r="E13" i="49"/>
  <c r="F13" i="49"/>
  <c r="F14" i="49"/>
  <c r="D13" i="49"/>
  <c r="H6" i="49"/>
  <c r="H10" i="49"/>
  <c r="H9" i="49"/>
  <c r="D19" i="49" l="1"/>
  <c r="D42" i="49" s="1"/>
  <c r="F18" i="49"/>
  <c r="F31" i="49"/>
  <c r="E19" i="49"/>
  <c r="E42" i="49" s="1"/>
  <c r="F25" i="49"/>
  <c r="J24" i="32"/>
  <c r="I27" i="32"/>
  <c r="G13" i="49"/>
  <c r="H11" i="49"/>
  <c r="H7" i="49"/>
  <c r="F18" i="77" l="1"/>
  <c r="F19" i="49"/>
  <c r="F42" i="49" s="1"/>
  <c r="G30" i="49"/>
  <c r="F32" i="49"/>
  <c r="F45" i="49" s="1"/>
  <c r="G22" i="32" l="1"/>
  <c r="H22" i="32"/>
  <c r="I24" i="32" l="1"/>
  <c r="E25" i="49"/>
  <c r="E32" i="49" s="1"/>
  <c r="G24" i="32"/>
  <c r="D25" i="49"/>
  <c r="D32" i="49" s="1"/>
  <c r="H24" i="32"/>
  <c r="G27" i="32"/>
  <c r="H27" i="32"/>
  <c r="C18" i="77" l="1"/>
  <c r="C24" i="77" s="1"/>
  <c r="D18" i="77"/>
  <c r="D24" i="77" s="1"/>
  <c r="E18" i="77"/>
  <c r="E24" i="77" s="1"/>
  <c r="G18" i="49"/>
  <c r="G19" i="49" s="1"/>
  <c r="G42" i="49" s="1"/>
  <c r="C47" i="49" s="1"/>
  <c r="G31" i="49"/>
  <c r="G32" i="49" s="1"/>
  <c r="E45" i="49"/>
  <c r="G18" i="77" l="1"/>
  <c r="G24" i="77"/>
  <c r="C48" i="49"/>
  <c r="C5" i="35" s="1"/>
  <c r="C8" i="75"/>
  <c r="G45" i="49"/>
  <c r="C8" i="39"/>
  <c r="D45" i="49"/>
  <c r="C15" i="32"/>
  <c r="C20" i="69" l="1"/>
  <c r="G55" i="69" s="1"/>
  <c r="C14" i="81"/>
  <c r="C20" i="75"/>
  <c r="C7" i="81"/>
  <c r="C9" i="81" s="1"/>
  <c r="C11" i="81" s="1"/>
  <c r="H8" i="75"/>
  <c r="C7" i="75"/>
  <c r="C10" i="75" s="1"/>
  <c r="C21" i="32"/>
  <c r="C18" i="32"/>
  <c r="G13" i="69"/>
  <c r="G6" i="69"/>
  <c r="D14" i="81" l="1"/>
  <c r="E14" i="81" s="1"/>
  <c r="F14" i="81" s="1"/>
  <c r="G14" i="81" s="1"/>
  <c r="H14" i="81" s="1"/>
  <c r="I14" i="81" s="1"/>
  <c r="J14" i="81" s="1"/>
  <c r="K14" i="81" s="1"/>
  <c r="L14" i="81" s="1"/>
  <c r="M14" i="81" s="1"/>
  <c r="G4" i="69"/>
  <c r="G9" i="69"/>
  <c r="G10" i="69"/>
  <c r="G50" i="69"/>
  <c r="G37" i="69"/>
  <c r="G45" i="69"/>
  <c r="G53" i="69"/>
  <c r="G54" i="69"/>
  <c r="G42" i="69"/>
  <c r="G48" i="69"/>
  <c r="G38" i="69"/>
  <c r="G56" i="69"/>
  <c r="G40" i="69"/>
  <c r="G12" i="69"/>
  <c r="G11" i="69"/>
  <c r="G44" i="69"/>
  <c r="G57" i="69"/>
  <c r="G36" i="69"/>
  <c r="G52" i="69"/>
  <c r="G41" i="69"/>
  <c r="G51" i="69"/>
  <c r="G8" i="69"/>
  <c r="G7" i="69"/>
  <c r="G5" i="69"/>
  <c r="G49" i="69"/>
  <c r="G39" i="69"/>
  <c r="G43" i="69"/>
  <c r="G35" i="69"/>
  <c r="C16" i="75"/>
  <c r="J8" i="75"/>
  <c r="L8" i="75" s="1"/>
  <c r="K8" i="75" s="1"/>
  <c r="F8" i="75"/>
  <c r="H7" i="81"/>
  <c r="C23" i="32"/>
  <c r="C17" i="35"/>
  <c r="C8" i="32"/>
  <c r="H7" i="32"/>
  <c r="I7" i="32"/>
  <c r="J7" i="32"/>
  <c r="G7" i="32"/>
  <c r="F7" i="81" l="1"/>
  <c r="I8" i="75"/>
  <c r="G8" i="75"/>
  <c r="E8" i="75"/>
  <c r="D8" i="75" s="1"/>
  <c r="J7" i="81"/>
  <c r="C21" i="23"/>
  <c r="E3" i="28" s="1"/>
  <c r="G7" i="81" l="1"/>
  <c r="E7" i="81"/>
  <c r="I7" i="81"/>
  <c r="L7" i="81"/>
  <c r="D7" i="81" l="1"/>
  <c r="K7" i="81"/>
  <c r="C6" i="24"/>
  <c r="C17" i="69" l="1"/>
  <c r="C12" i="23"/>
  <c r="L56" i="69" l="1"/>
  <c r="L52" i="69"/>
  <c r="L48" i="69"/>
  <c r="L43" i="69"/>
  <c r="L42" i="69"/>
  <c r="L36" i="69"/>
  <c r="L11" i="69"/>
  <c r="L7" i="69"/>
  <c r="L57" i="69"/>
  <c r="L53" i="69"/>
  <c r="L49" i="69"/>
  <c r="L45" i="69"/>
  <c r="L44" i="69"/>
  <c r="L37" i="69"/>
  <c r="L10" i="69"/>
  <c r="L6" i="69"/>
  <c r="L55" i="69"/>
  <c r="L51" i="69"/>
  <c r="L41" i="69"/>
  <c r="L40" i="69"/>
  <c r="L35" i="69"/>
  <c r="L12" i="69"/>
  <c r="L8" i="69"/>
  <c r="L54" i="69"/>
  <c r="L50" i="69"/>
  <c r="L39" i="69"/>
  <c r="L38" i="69"/>
  <c r="L13" i="69"/>
  <c r="L9" i="69"/>
  <c r="L4" i="69"/>
  <c r="C8" i="57"/>
  <c r="F8" i="57" l="1"/>
  <c r="E8" i="57"/>
  <c r="D8" i="57"/>
  <c r="G9" i="57" l="1"/>
  <c r="D13" i="57" s="1"/>
  <c r="C9" i="32"/>
  <c r="H13" i="57" l="1"/>
  <c r="C10" i="32"/>
  <c r="C11" i="32" s="1"/>
  <c r="C27" i="32" s="1"/>
  <c r="C9" i="35" s="1"/>
  <c r="C17" i="75" s="1"/>
  <c r="J13" i="57" l="1"/>
  <c r="K13" i="57" s="1"/>
  <c r="I13" i="57"/>
  <c r="F13" i="57"/>
  <c r="B16" i="35"/>
  <c r="G13" i="57" l="1"/>
  <c r="E13" i="57"/>
  <c r="B6" i="4"/>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1" i="4" s="1"/>
  <c r="F5" i="40" l="1"/>
  <c r="C5" i="23"/>
  <c r="F10" i="40" l="1"/>
  <c r="C16" i="35" l="1"/>
  <c r="C18" i="35" s="1"/>
  <c r="C22" i="35" l="1"/>
  <c r="C3" i="39"/>
  <c r="D12" i="24" l="1"/>
  <c r="D13" i="24"/>
  <c r="D20" i="24" l="1"/>
  <c r="E20" i="24"/>
  <c r="C8" i="24" s="1"/>
  <c r="F6" i="40" s="1"/>
  <c r="H20" i="24"/>
  <c r="F20" i="24"/>
  <c r="P10" i="81" l="1"/>
  <c r="M10" i="81" s="1"/>
  <c r="M12" i="75"/>
  <c r="C6" i="40" s="1"/>
  <c r="C11" i="75"/>
  <c r="C13" i="75" s="1"/>
  <c r="F21" i="49"/>
  <c r="F43" i="49" s="1"/>
  <c r="G21" i="49"/>
  <c r="G43" i="49" s="1"/>
  <c r="D21" i="49"/>
  <c r="D43" i="49" s="1"/>
  <c r="C21" i="49"/>
  <c r="C43" i="49" s="1"/>
  <c r="E21" i="49"/>
  <c r="E43" i="49" s="1"/>
  <c r="C8" i="68"/>
  <c r="C18" i="69"/>
  <c r="C6" i="23"/>
  <c r="C15" i="69"/>
  <c r="C24" i="72"/>
  <c r="C24" i="23"/>
  <c r="G10" i="81" l="1"/>
  <c r="C21" i="75"/>
  <c r="C23" i="75"/>
  <c r="C19" i="75"/>
  <c r="C7" i="35"/>
  <c r="C11" i="35" s="1"/>
  <c r="C20" i="35"/>
  <c r="C28" i="35" s="1"/>
  <c r="J10" i="81" l="1"/>
  <c r="E10" i="81"/>
  <c r="I10" i="81"/>
  <c r="C7" i="39"/>
  <c r="C9" i="39" s="1"/>
  <c r="C4" i="39"/>
  <c r="C5" i="39" s="1"/>
  <c r="D10" i="81" l="1"/>
  <c r="F10" i="81"/>
  <c r="H10" i="81"/>
  <c r="L10" i="81"/>
  <c r="J8" i="77"/>
  <c r="C9" i="43"/>
  <c r="D6" i="75"/>
  <c r="D5" i="75" s="1"/>
  <c r="K10" i="81" l="1"/>
  <c r="D14" i="57"/>
  <c r="D15" i="57" s="1"/>
  <c r="D15" i="75"/>
  <c r="D17" i="75" s="1"/>
  <c r="D20" i="75" s="1"/>
  <c r="E5" i="75"/>
  <c r="D7" i="75"/>
  <c r="G12" i="24"/>
  <c r="G20" i="24" s="1"/>
  <c r="E14" i="57" l="1"/>
  <c r="E15" i="57" s="1"/>
  <c r="E7" i="75"/>
  <c r="E15" i="75"/>
  <c r="E17" i="75" s="1"/>
  <c r="E20" i="75" s="1"/>
  <c r="F5" i="75"/>
  <c r="F11" i="40"/>
  <c r="F13" i="40" s="1"/>
  <c r="C13" i="23"/>
  <c r="C16" i="23" s="1"/>
  <c r="F14" i="57" l="1"/>
  <c r="F15" i="57" s="1"/>
  <c r="G5" i="75"/>
  <c r="F7" i="75"/>
  <c r="F15" i="75"/>
  <c r="F17" i="75" s="1"/>
  <c r="F20" i="75" s="1"/>
  <c r="C22" i="23"/>
  <c r="F20" i="68"/>
  <c r="F23" i="68" s="1"/>
  <c r="C14" i="68" s="1"/>
  <c r="C20" i="48" l="1"/>
  <c r="C25" i="81"/>
  <c r="G14" i="57"/>
  <c r="G15" i="57" s="1"/>
  <c r="G15" i="75"/>
  <c r="G17" i="75" s="1"/>
  <c r="G20" i="75" s="1"/>
  <c r="G7" i="75"/>
  <c r="H5" i="75"/>
  <c r="C4" i="71"/>
  <c r="H14" i="57" l="1"/>
  <c r="H15" i="57" s="1"/>
  <c r="I5" i="75"/>
  <c r="H15" i="75"/>
  <c r="H17" i="75" s="1"/>
  <c r="H20" i="75" s="1"/>
  <c r="H7" i="75"/>
  <c r="C20" i="72"/>
  <c r="C19" i="72"/>
  <c r="C4" i="72" s="1"/>
  <c r="C23" i="23"/>
  <c r="C26" i="23" s="1"/>
  <c r="C19" i="69"/>
  <c r="C15" i="68"/>
  <c r="N3" i="28" l="1"/>
  <c r="F7" i="40"/>
  <c r="F8" i="40" s="1"/>
  <c r="I14" i="57"/>
  <c r="I15" i="57" s="1"/>
  <c r="I15" i="75"/>
  <c r="I17" i="75" s="1"/>
  <c r="I20" i="75" s="1"/>
  <c r="I7" i="75"/>
  <c r="J5" i="75"/>
  <c r="F57" i="69"/>
  <c r="H57" i="69" s="1"/>
  <c r="F56" i="69"/>
  <c r="H56" i="69" s="1"/>
  <c r="F55" i="69"/>
  <c r="H55" i="69" s="1"/>
  <c r="F54" i="69"/>
  <c r="H54" i="69" s="1"/>
  <c r="F53" i="69"/>
  <c r="H53" i="69" s="1"/>
  <c r="F52" i="69"/>
  <c r="H52" i="69" s="1"/>
  <c r="F51" i="69"/>
  <c r="H51" i="69" s="1"/>
  <c r="F50" i="69"/>
  <c r="H50" i="69" s="1"/>
  <c r="F49" i="69"/>
  <c r="H49" i="69" s="1"/>
  <c r="F48" i="69"/>
  <c r="H48" i="69" s="1"/>
  <c r="F36" i="69"/>
  <c r="H36" i="69" s="1"/>
  <c r="M36" i="69" s="1"/>
  <c r="N36" i="69" s="1"/>
  <c r="F45" i="69"/>
  <c r="H45" i="69" s="1"/>
  <c r="F41" i="69"/>
  <c r="H41" i="69" s="1"/>
  <c r="F37" i="69"/>
  <c r="H37" i="69" s="1"/>
  <c r="F42" i="69"/>
  <c r="H42" i="69" s="1"/>
  <c r="F38" i="69"/>
  <c r="H38" i="69" s="1"/>
  <c r="F44" i="69"/>
  <c r="H44" i="69" s="1"/>
  <c r="F40" i="69"/>
  <c r="H40" i="69" s="1"/>
  <c r="F43" i="69"/>
  <c r="H43" i="69" s="1"/>
  <c r="F39" i="69"/>
  <c r="H39" i="69" s="1"/>
  <c r="F5" i="69"/>
  <c r="F35" i="69"/>
  <c r="H35" i="69" s="1"/>
  <c r="F9" i="69"/>
  <c r="H9" i="69" s="1"/>
  <c r="C21" i="72"/>
  <c r="C22" i="72" s="1"/>
  <c r="E35" i="72" s="1"/>
  <c r="C36" i="72"/>
  <c r="C33" i="72"/>
  <c r="C10" i="72"/>
  <c r="C40" i="72"/>
  <c r="C38" i="72"/>
  <c r="C12" i="72"/>
  <c r="C11" i="72"/>
  <c r="C42" i="72"/>
  <c r="C35" i="72"/>
  <c r="C39" i="72"/>
  <c r="C41" i="72"/>
  <c r="C34" i="72"/>
  <c r="C13" i="72"/>
  <c r="C5" i="72"/>
  <c r="C8" i="72"/>
  <c r="C6" i="72"/>
  <c r="C37" i="72"/>
  <c r="C9" i="72"/>
  <c r="C27" i="23"/>
  <c r="C7" i="72"/>
  <c r="F8" i="69"/>
  <c r="H8" i="69" s="1"/>
  <c r="C16" i="68"/>
  <c r="F10" i="69"/>
  <c r="H10" i="69" s="1"/>
  <c r="F13" i="69"/>
  <c r="H13" i="69" s="1"/>
  <c r="F7" i="69"/>
  <c r="H7" i="69" s="1"/>
  <c r="F12" i="69"/>
  <c r="H12" i="69" s="1"/>
  <c r="F4" i="69"/>
  <c r="H4" i="69" s="1"/>
  <c r="F6" i="69"/>
  <c r="H6" i="69" s="1"/>
  <c r="F11" i="69"/>
  <c r="H11" i="69" s="1"/>
  <c r="J14" i="57" l="1"/>
  <c r="J15" i="57" s="1"/>
  <c r="J15" i="75"/>
  <c r="J17" i="75" s="1"/>
  <c r="J20" i="75" s="1"/>
  <c r="J7" i="75"/>
  <c r="K5" i="75"/>
  <c r="M51" i="69"/>
  <c r="N51" i="69" s="1"/>
  <c r="I51" i="69"/>
  <c r="J51" i="69" s="1"/>
  <c r="G36" i="72" s="1"/>
  <c r="M55" i="69"/>
  <c r="N55" i="69" s="1"/>
  <c r="I55" i="69"/>
  <c r="J55" i="69" s="1"/>
  <c r="G40" i="72" s="1"/>
  <c r="M48" i="69"/>
  <c r="N48" i="69" s="1"/>
  <c r="I48" i="69"/>
  <c r="J48" i="69" s="1"/>
  <c r="G33" i="72" s="1"/>
  <c r="M52" i="69"/>
  <c r="N52" i="69" s="1"/>
  <c r="I52" i="69"/>
  <c r="J52" i="69" s="1"/>
  <c r="G37" i="72" s="1"/>
  <c r="M56" i="69"/>
  <c r="N56" i="69" s="1"/>
  <c r="I56" i="69"/>
  <c r="J56" i="69" s="1"/>
  <c r="G41" i="72" s="1"/>
  <c r="M49" i="69"/>
  <c r="N49" i="69" s="1"/>
  <c r="I49" i="69"/>
  <c r="J49" i="69" s="1"/>
  <c r="G34" i="72" s="1"/>
  <c r="M53" i="69"/>
  <c r="N53" i="69" s="1"/>
  <c r="I53" i="69"/>
  <c r="J53" i="69" s="1"/>
  <c r="G38" i="72" s="1"/>
  <c r="M57" i="69"/>
  <c r="N57" i="69" s="1"/>
  <c r="I57" i="69"/>
  <c r="J57" i="69" s="1"/>
  <c r="G42" i="72" s="1"/>
  <c r="M50" i="69"/>
  <c r="N50" i="69" s="1"/>
  <c r="I50" i="69"/>
  <c r="J50" i="69" s="1"/>
  <c r="G35" i="72" s="1"/>
  <c r="M54" i="69"/>
  <c r="N54" i="69" s="1"/>
  <c r="I54" i="69"/>
  <c r="J54" i="69" s="1"/>
  <c r="G39" i="72" s="1"/>
  <c r="I36" i="69"/>
  <c r="J36" i="69" s="1"/>
  <c r="M37" i="69"/>
  <c r="N37" i="69" s="1"/>
  <c r="I37" i="69"/>
  <c r="J37" i="69" s="1"/>
  <c r="I44" i="69"/>
  <c r="J44" i="69" s="1"/>
  <c r="M44" i="69"/>
  <c r="N44" i="69" s="1"/>
  <c r="M41" i="69"/>
  <c r="N41" i="69" s="1"/>
  <c r="I41" i="69"/>
  <c r="J41" i="69" s="1"/>
  <c r="I40" i="69"/>
  <c r="J40" i="69" s="1"/>
  <c r="M40" i="69"/>
  <c r="N40" i="69" s="1"/>
  <c r="M39" i="69"/>
  <c r="N39" i="69" s="1"/>
  <c r="I39" i="69"/>
  <c r="J39" i="69" s="1"/>
  <c r="M38" i="69"/>
  <c r="N38" i="69" s="1"/>
  <c r="I38" i="69"/>
  <c r="J38" i="69" s="1"/>
  <c r="M45" i="69"/>
  <c r="N45" i="69" s="1"/>
  <c r="I45" i="69"/>
  <c r="J45" i="69" s="1"/>
  <c r="M43" i="69"/>
  <c r="N43" i="69" s="1"/>
  <c r="I43" i="69"/>
  <c r="J43" i="69" s="1"/>
  <c r="M42" i="69"/>
  <c r="N42" i="69" s="1"/>
  <c r="I42" i="69"/>
  <c r="J42" i="69" s="1"/>
  <c r="M35" i="69"/>
  <c r="N35" i="69" s="1"/>
  <c r="I35" i="69"/>
  <c r="J35" i="69" s="1"/>
  <c r="I13" i="69"/>
  <c r="J13" i="69" s="1"/>
  <c r="M13" i="69"/>
  <c r="N13" i="69" s="1"/>
  <c r="I12" i="69"/>
  <c r="J12" i="69" s="1"/>
  <c r="M12" i="69"/>
  <c r="N12" i="69" s="1"/>
  <c r="I11" i="69"/>
  <c r="J11" i="69" s="1"/>
  <c r="M11" i="69"/>
  <c r="N11" i="69" s="1"/>
  <c r="I10" i="69"/>
  <c r="J10" i="69" s="1"/>
  <c r="M10" i="69"/>
  <c r="N10" i="69" s="1"/>
  <c r="I9" i="69"/>
  <c r="J9" i="69" s="1"/>
  <c r="M9" i="69"/>
  <c r="N9" i="69" s="1"/>
  <c r="I8" i="69"/>
  <c r="J8" i="69" s="1"/>
  <c r="M8" i="69"/>
  <c r="N8" i="69" s="1"/>
  <c r="I7" i="69"/>
  <c r="J7" i="69" s="1"/>
  <c r="G7" i="72" s="1"/>
  <c r="M7" i="69"/>
  <c r="N7" i="69" s="1"/>
  <c r="I6" i="69"/>
  <c r="J6" i="69" s="1"/>
  <c r="M6" i="69"/>
  <c r="N6" i="69" s="1"/>
  <c r="E5" i="72"/>
  <c r="E36" i="72"/>
  <c r="E34" i="72"/>
  <c r="E8" i="72"/>
  <c r="E13" i="72"/>
  <c r="E10" i="72"/>
  <c r="E4" i="72"/>
  <c r="I4" i="72" s="1"/>
  <c r="E41" i="72"/>
  <c r="E39" i="72"/>
  <c r="E11" i="72"/>
  <c r="E6" i="72"/>
  <c r="E12" i="72"/>
  <c r="E33" i="72"/>
  <c r="E37" i="72"/>
  <c r="E7" i="72"/>
  <c r="E9" i="72"/>
  <c r="E42" i="72"/>
  <c r="E38" i="72"/>
  <c r="E40" i="72"/>
  <c r="K14" i="57" l="1"/>
  <c r="K15" i="57" s="1"/>
  <c r="K15" i="75"/>
  <c r="K17" i="75" s="1"/>
  <c r="K20" i="75" s="1"/>
  <c r="L5" i="75"/>
  <c r="K7" i="75"/>
  <c r="D4" i="72"/>
  <c r="F4" i="72" s="1"/>
  <c r="J4" i="72" s="1"/>
  <c r="N4" i="69"/>
  <c r="L14" i="57" l="1"/>
  <c r="L15" i="57" s="1"/>
  <c r="L7" i="75"/>
  <c r="M5" i="75"/>
  <c r="L15" i="75"/>
  <c r="L17" i="75" s="1"/>
  <c r="L20" i="75" s="1"/>
  <c r="C5" i="40" l="1"/>
  <c r="M7" i="75"/>
  <c r="M14" i="57"/>
  <c r="M15" i="57" s="1"/>
  <c r="M15" i="75"/>
  <c r="M17" i="75" s="1"/>
  <c r="M20" i="75" s="1"/>
  <c r="E9" i="75" l="1"/>
  <c r="E10" i="75" l="1"/>
  <c r="E11" i="75" s="1"/>
  <c r="E13" i="75" s="1"/>
  <c r="E8" i="81"/>
  <c r="E9" i="81" s="1"/>
  <c r="E11" i="81" s="1"/>
  <c r="E15" i="81" s="1"/>
  <c r="E23" i="75"/>
  <c r="D5" i="48" s="1"/>
  <c r="E19" i="75"/>
  <c r="E21" i="75"/>
  <c r="J9" i="75"/>
  <c r="D9" i="75"/>
  <c r="I9" i="75"/>
  <c r="M9" i="75"/>
  <c r="M8" i="81" s="1"/>
  <c r="M9" i="81" s="1"/>
  <c r="M11" i="81" s="1"/>
  <c r="M15" i="81" s="1"/>
  <c r="H9" i="75"/>
  <c r="F9" i="75"/>
  <c r="L9" i="75"/>
  <c r="G9" i="75"/>
  <c r="K9" i="75"/>
  <c r="L10" i="75" l="1"/>
  <c r="L11" i="75" s="1"/>
  <c r="L13" i="75" s="1"/>
  <c r="L8" i="81"/>
  <c r="L9" i="81" s="1"/>
  <c r="L11" i="81" s="1"/>
  <c r="L15" i="81" s="1"/>
  <c r="F11" i="75"/>
  <c r="F13" i="75" s="1"/>
  <c r="F19" i="75" s="1"/>
  <c r="F8" i="81"/>
  <c r="F9" i="81" s="1"/>
  <c r="F11" i="81" s="1"/>
  <c r="F15" i="81" s="1"/>
  <c r="F10" i="75"/>
  <c r="D10" i="75"/>
  <c r="D11" i="75" s="1"/>
  <c r="D13" i="75" s="1"/>
  <c r="D21" i="75" s="1"/>
  <c r="D8" i="81"/>
  <c r="D9" i="81" s="1"/>
  <c r="D11" i="81" s="1"/>
  <c r="D15" i="81" s="1"/>
  <c r="K10" i="75"/>
  <c r="K11" i="75" s="1"/>
  <c r="K13" i="75" s="1"/>
  <c r="K8" i="81"/>
  <c r="K9" i="81" s="1"/>
  <c r="K11" i="81" s="1"/>
  <c r="K15" i="81" s="1"/>
  <c r="J10" i="75"/>
  <c r="J11" i="75" s="1"/>
  <c r="J13" i="75" s="1"/>
  <c r="J21" i="75" s="1"/>
  <c r="J8" i="81"/>
  <c r="J9" i="81" s="1"/>
  <c r="J11" i="81" s="1"/>
  <c r="J15" i="81" s="1"/>
  <c r="I10" i="75"/>
  <c r="I11" i="75" s="1"/>
  <c r="I13" i="75" s="1"/>
  <c r="I23" i="75" s="1"/>
  <c r="H5" i="48" s="1"/>
  <c r="I8" i="81"/>
  <c r="I9" i="81" s="1"/>
  <c r="I11" i="81" s="1"/>
  <c r="I15" i="81" s="1"/>
  <c r="H10" i="75"/>
  <c r="H11" i="75" s="1"/>
  <c r="H13" i="75" s="1"/>
  <c r="H21" i="75" s="1"/>
  <c r="H8" i="81"/>
  <c r="H9" i="81" s="1"/>
  <c r="H11" i="81" s="1"/>
  <c r="H15" i="81" s="1"/>
  <c r="G10" i="75"/>
  <c r="G11" i="75" s="1"/>
  <c r="G13" i="75" s="1"/>
  <c r="G21" i="75" s="1"/>
  <c r="G8" i="81"/>
  <c r="G9" i="81" s="1"/>
  <c r="G11" i="81" s="1"/>
  <c r="G15" i="81" s="1"/>
  <c r="M10" i="75"/>
  <c r="M11" i="75" s="1"/>
  <c r="M13" i="75" s="1"/>
  <c r="H19" i="75"/>
  <c r="H23" i="75"/>
  <c r="G5" i="48" s="1"/>
  <c r="J23" i="75"/>
  <c r="I5" i="48" s="1"/>
  <c r="J19" i="75"/>
  <c r="L19" i="75"/>
  <c r="L21" i="75"/>
  <c r="L23" i="75"/>
  <c r="K5" i="48" s="1"/>
  <c r="F21" i="75"/>
  <c r="D19" i="75"/>
  <c r="D23" i="75"/>
  <c r="C5" i="48" s="1"/>
  <c r="C7" i="40"/>
  <c r="I21" i="75" l="1"/>
  <c r="F23" i="75"/>
  <c r="E5" i="48" s="1"/>
  <c r="G19" i="75"/>
  <c r="I19" i="75"/>
  <c r="G23" i="75"/>
  <c r="F5" i="48" s="1"/>
  <c r="J20" i="71" s="1"/>
  <c r="M19" i="75"/>
  <c r="M21" i="75"/>
  <c r="C9" i="40" s="1"/>
  <c r="M23" i="75"/>
  <c r="L5" i="48" s="1"/>
  <c r="K23" i="75"/>
  <c r="K21" i="75"/>
  <c r="K19" i="75"/>
  <c r="J18" i="71"/>
  <c r="J21" i="71"/>
  <c r="J22" i="71"/>
  <c r="J23" i="71"/>
  <c r="J17" i="71"/>
  <c r="C10" i="40" l="1"/>
  <c r="C11" i="40" s="1"/>
  <c r="P13" i="81"/>
  <c r="J5" i="48"/>
  <c r="J25" i="71"/>
  <c r="J19" i="71"/>
  <c r="J26" i="71"/>
  <c r="J24" i="71" l="1"/>
  <c r="G13" i="72" l="1"/>
  <c r="H13" i="72" s="1"/>
  <c r="I13" i="72" s="1"/>
  <c r="G12" i="72"/>
  <c r="H12" i="72" s="1"/>
  <c r="I12" i="72" s="1"/>
  <c r="D11" i="72"/>
  <c r="F11" i="72" s="1"/>
  <c r="G10" i="72"/>
  <c r="H10" i="72" s="1"/>
  <c r="I10" i="72" s="1"/>
  <c r="G9" i="72"/>
  <c r="H9" i="72" s="1"/>
  <c r="I9" i="72" s="1"/>
  <c r="D10" i="72"/>
  <c r="F10" i="72" s="1"/>
  <c r="D7" i="72"/>
  <c r="F7" i="72" s="1"/>
  <c r="D13" i="72"/>
  <c r="F13" i="72" s="1"/>
  <c r="D9" i="72"/>
  <c r="F9" i="72" s="1"/>
  <c r="D12" i="72"/>
  <c r="F12" i="72" s="1"/>
  <c r="G11" i="72"/>
  <c r="H11" i="72" s="1"/>
  <c r="I11" i="72" s="1"/>
  <c r="G8" i="72"/>
  <c r="H8" i="72" s="1"/>
  <c r="I8" i="72" s="1"/>
  <c r="H7" i="72"/>
  <c r="I7" i="72" s="1"/>
  <c r="D8" i="72"/>
  <c r="F8" i="72" s="1"/>
  <c r="J7" i="72" l="1"/>
  <c r="J13" i="72"/>
  <c r="J12" i="72"/>
  <c r="J9" i="72"/>
  <c r="J11" i="72"/>
  <c r="J10" i="72"/>
  <c r="J8" i="72"/>
  <c r="G6" i="72" l="1"/>
  <c r="H6" i="72" s="1"/>
  <c r="I6" i="72" s="1"/>
  <c r="D6" i="72" l="1"/>
  <c r="F6" i="72" s="1"/>
  <c r="J6" i="72" s="1"/>
  <c r="L5" i="69"/>
  <c r="H5" i="69" s="1"/>
  <c r="I5" i="69" s="1"/>
  <c r="J5" i="69" s="1"/>
  <c r="G5" i="72" s="1"/>
  <c r="H5" i="72" s="1"/>
  <c r="I5" i="72" s="1"/>
  <c r="M5" i="69" l="1"/>
  <c r="D5" i="72" s="1"/>
  <c r="F5" i="72" s="1"/>
  <c r="J5" i="72" s="1"/>
  <c r="N5" i="69" l="1"/>
  <c r="D35" i="72"/>
  <c r="F35" i="72" s="1"/>
  <c r="H35" i="72"/>
  <c r="I35" i="72" s="1"/>
  <c r="H33" i="72"/>
  <c r="I33" i="72" s="1"/>
  <c r="H34" i="72"/>
  <c r="I34" i="72" s="1"/>
  <c r="D37" i="72"/>
  <c r="F37" i="72" s="1"/>
  <c r="H37" i="72"/>
  <c r="I37" i="72" s="1"/>
  <c r="H38" i="72"/>
  <c r="I38" i="72" s="1"/>
  <c r="H41" i="72"/>
  <c r="I41" i="72" s="1"/>
  <c r="H36" i="72"/>
  <c r="I36" i="72" s="1"/>
  <c r="D34" i="72"/>
  <c r="F34" i="72" s="1"/>
  <c r="D41" i="72"/>
  <c r="F41" i="72" s="1"/>
  <c r="D42" i="72"/>
  <c r="F42" i="72" s="1"/>
  <c r="D36" i="72"/>
  <c r="F36" i="72" s="1"/>
  <c r="D39" i="72"/>
  <c r="F39" i="72" s="1"/>
  <c r="D38" i="72"/>
  <c r="F38" i="72" s="1"/>
  <c r="H40" i="72"/>
  <c r="I40" i="72" s="1"/>
  <c r="H42" i="72"/>
  <c r="I42" i="72" s="1"/>
  <c r="D33" i="72"/>
  <c r="F33" i="72" s="1"/>
  <c r="D40" i="72"/>
  <c r="F40" i="72" s="1"/>
  <c r="H39" i="72"/>
  <c r="I39" i="72" s="1"/>
  <c r="J36" i="72" l="1"/>
  <c r="J38" i="72"/>
  <c r="J33" i="72"/>
  <c r="J41" i="72"/>
  <c r="J40" i="72"/>
  <c r="J35" i="72"/>
  <c r="J42" i="72"/>
  <c r="J39" i="72"/>
  <c r="J37" i="72"/>
  <c r="J34" i="72"/>
  <c r="C6" i="68" l="1"/>
  <c r="C10" i="68" l="1"/>
  <c r="F15" i="40"/>
  <c r="F17" i="40" s="1"/>
  <c r="F18" i="40" s="1"/>
  <c r="F19" i="40" s="1"/>
  <c r="C7" i="68"/>
  <c r="C9" i="68" s="1"/>
  <c r="C11" i="68" s="1"/>
  <c r="L6" i="48" l="1"/>
  <c r="P8" i="81" s="1"/>
  <c r="C12" i="40"/>
  <c r="C13" i="48" s="1"/>
  <c r="C16" i="69"/>
  <c r="C18" i="68"/>
  <c r="C28" i="83" l="1"/>
  <c r="C14" i="48"/>
  <c r="D53" i="69"/>
  <c r="E53" i="69" s="1"/>
  <c r="O53" i="69" s="1"/>
  <c r="D8" i="69"/>
  <c r="E8" i="69" s="1"/>
  <c r="O8" i="69" s="1"/>
  <c r="D50" i="69"/>
  <c r="E50" i="69" s="1"/>
  <c r="O50" i="69" s="1"/>
  <c r="D48" i="69"/>
  <c r="E48" i="69" s="1"/>
  <c r="O48" i="69" s="1"/>
  <c r="D36" i="69"/>
  <c r="E36" i="69" s="1"/>
  <c r="O36" i="69" s="1"/>
  <c r="D6" i="69"/>
  <c r="E6" i="69" s="1"/>
  <c r="O6" i="69" s="1"/>
  <c r="D54" i="69"/>
  <c r="E54" i="69" s="1"/>
  <c r="O54" i="69" s="1"/>
  <c r="D43" i="69"/>
  <c r="E43" i="69" s="1"/>
  <c r="O43" i="69" s="1"/>
  <c r="D39" i="69"/>
  <c r="E39" i="69" s="1"/>
  <c r="O39" i="69" s="1"/>
  <c r="D57" i="69"/>
  <c r="E57" i="69" s="1"/>
  <c r="O57" i="69" s="1"/>
  <c r="D7" i="69"/>
  <c r="E7" i="69" s="1"/>
  <c r="O7" i="69" s="1"/>
  <c r="D9" i="69"/>
  <c r="E9" i="69" s="1"/>
  <c r="O9" i="69" s="1"/>
  <c r="D56" i="69"/>
  <c r="E56" i="69" s="1"/>
  <c r="O56" i="69" s="1"/>
  <c r="D12" i="69"/>
  <c r="E12" i="69" s="1"/>
  <c r="O12" i="69" s="1"/>
  <c r="D35" i="69"/>
  <c r="E35" i="69" s="1"/>
  <c r="O35" i="69" s="1"/>
  <c r="D45" i="69"/>
  <c r="E45" i="69" s="1"/>
  <c r="O45" i="69" s="1"/>
  <c r="D5" i="69"/>
  <c r="E5" i="69" s="1"/>
  <c r="O5" i="69" s="1"/>
  <c r="D11" i="69"/>
  <c r="E11" i="69" s="1"/>
  <c r="O11" i="69" s="1"/>
  <c r="D40" i="69"/>
  <c r="E40" i="69" s="1"/>
  <c r="O40" i="69" s="1"/>
  <c r="D10" i="69"/>
  <c r="E10" i="69" s="1"/>
  <c r="O10" i="69" s="1"/>
  <c r="D51" i="69"/>
  <c r="E51" i="69" s="1"/>
  <c r="O51" i="69" s="1"/>
  <c r="D38" i="69"/>
  <c r="E38" i="69" s="1"/>
  <c r="O38" i="69" s="1"/>
  <c r="D37" i="69"/>
  <c r="E37" i="69" s="1"/>
  <c r="O37" i="69" s="1"/>
  <c r="D13" i="69"/>
  <c r="E13" i="69" s="1"/>
  <c r="O13" i="69" s="1"/>
  <c r="D52" i="69"/>
  <c r="E52" i="69" s="1"/>
  <c r="O52" i="69" s="1"/>
  <c r="D4" i="69"/>
  <c r="E4" i="69" s="1"/>
  <c r="O4" i="69" s="1"/>
  <c r="D49" i="69"/>
  <c r="E49" i="69" s="1"/>
  <c r="O49" i="69" s="1"/>
  <c r="D41" i="69"/>
  <c r="E41" i="69" s="1"/>
  <c r="O41" i="69" s="1"/>
  <c r="D55" i="69"/>
  <c r="E55" i="69" s="1"/>
  <c r="O55" i="69" s="1"/>
  <c r="D44" i="69"/>
  <c r="E44" i="69" s="1"/>
  <c r="O44" i="69" s="1"/>
  <c r="D42" i="69"/>
  <c r="E42" i="69" s="1"/>
  <c r="O42" i="69" s="1"/>
  <c r="U3" i="28"/>
  <c r="C7" i="23"/>
  <c r="C8" i="23" s="1"/>
  <c r="C20" i="23" s="1"/>
  <c r="C29" i="23" s="1"/>
  <c r="K26" i="71"/>
  <c r="L7" i="48"/>
  <c r="C10" i="83" l="1"/>
  <c r="M16" i="81"/>
  <c r="L26" i="71"/>
  <c r="M26" i="71" s="1"/>
  <c r="J9" i="77"/>
  <c r="J10" i="77" s="1"/>
  <c r="C10" i="43"/>
  <c r="C11" i="43" s="1"/>
  <c r="C13" i="43" s="1"/>
  <c r="C6" i="48"/>
  <c r="D16" i="81" s="1"/>
  <c r="W3" i="28"/>
  <c r="E16" i="81" l="1"/>
  <c r="E17" i="81" s="1"/>
  <c r="I16" i="81"/>
  <c r="I17" i="81" s="1"/>
  <c r="K17" i="71"/>
  <c r="L17" i="71" s="1"/>
  <c r="H6" i="48"/>
  <c r="F6" i="48" s="1"/>
  <c r="C7" i="48"/>
  <c r="D6" i="48"/>
  <c r="M17" i="81"/>
  <c r="C21" i="81"/>
  <c r="D17" i="81"/>
  <c r="C24" i="81"/>
  <c r="C16" i="48"/>
  <c r="K26" i="79" s="1"/>
  <c r="I26" i="79" l="1"/>
  <c r="J26" i="79" s="1"/>
  <c r="K16" i="81"/>
  <c r="J16" i="81" s="1"/>
  <c r="J17" i="81" s="1"/>
  <c r="G16" i="81"/>
  <c r="K20" i="71"/>
  <c r="L20" i="71" s="1"/>
  <c r="M20" i="71" s="1"/>
  <c r="E6" i="48"/>
  <c r="F7" i="48"/>
  <c r="G6" i="48"/>
  <c r="C22" i="81"/>
  <c r="H7" i="48"/>
  <c r="K22" i="71"/>
  <c r="L22" i="71" s="1"/>
  <c r="M22" i="71" s="1"/>
  <c r="J6" i="48"/>
  <c r="D7" i="48"/>
  <c r="K18" i="71"/>
  <c r="L18" i="71" s="1"/>
  <c r="M18" i="71" s="1"/>
  <c r="M17" i="71"/>
  <c r="H16" i="81" l="1"/>
  <c r="H17" i="81" s="1"/>
  <c r="F16" i="81"/>
  <c r="F17" i="81" s="1"/>
  <c r="G17" i="81"/>
  <c r="L16" i="81"/>
  <c r="L17" i="81" s="1"/>
  <c r="K17" i="81"/>
  <c r="J7" i="48"/>
  <c r="K6" i="48"/>
  <c r="K24" i="71"/>
  <c r="L24" i="71" s="1"/>
  <c r="M24" i="71" s="1"/>
  <c r="G7" i="48"/>
  <c r="K21" i="71"/>
  <c r="L21" i="71" s="1"/>
  <c r="M21" i="71" s="1"/>
  <c r="E7" i="48"/>
  <c r="K19" i="71"/>
  <c r="L19" i="71" s="1"/>
  <c r="M19" i="71" s="1"/>
  <c r="I6" i="48"/>
  <c r="C20" i="81" l="1"/>
  <c r="C23" i="81" s="1"/>
  <c r="I7" i="48"/>
  <c r="K23" i="71"/>
  <c r="L23" i="71" s="1"/>
  <c r="M23" i="71" s="1"/>
  <c r="K25" i="71"/>
  <c r="L25" i="71" s="1"/>
  <c r="M25" i="71" s="1"/>
  <c r="K7" i="48"/>
  <c r="C26" i="81" l="1"/>
  <c r="C28" i="81" s="1"/>
  <c r="C30" i="81" s="1"/>
  <c r="C12" i="48"/>
  <c r="C15" i="48" s="1"/>
  <c r="C19" i="48" s="1"/>
  <c r="C22" i="48" s="1"/>
  <c r="C24" i="48" s="1"/>
  <c r="C26" i="48" s="1"/>
  <c r="M27" i="71"/>
  <c r="L27" i="71"/>
  <c r="K23" i="81" l="1"/>
  <c r="E23" i="81"/>
  <c r="M29" i="71"/>
</calcChain>
</file>

<file path=xl/comments1.xml><?xml version="1.0" encoding="utf-8"?>
<comments xmlns="http://schemas.openxmlformats.org/spreadsheetml/2006/main">
  <authors>
    <author>Author</author>
  </authors>
  <commentList>
    <comment ref="H5" authorId="0" shapeId="0">
      <text>
        <r>
          <rPr>
            <b/>
            <sz val="9"/>
            <color indexed="81"/>
            <rFont val="Tahoma"/>
            <charset val="1"/>
          </rPr>
          <t>Author:</t>
        </r>
        <r>
          <rPr>
            <sz val="9"/>
            <color indexed="81"/>
            <rFont val="Tahoma"/>
            <charset val="1"/>
          </rPr>
          <t xml:space="preserve">
To get basic understanding of the business.</t>
        </r>
      </text>
    </comment>
    <comment ref="H6" authorId="0" shapeId="0">
      <text>
        <r>
          <rPr>
            <b/>
            <sz val="9"/>
            <color indexed="81"/>
            <rFont val="Tahoma"/>
            <charset val="1"/>
          </rPr>
          <t>Author:</t>
        </r>
        <r>
          <rPr>
            <sz val="9"/>
            <color indexed="81"/>
            <rFont val="Tahoma"/>
            <charset val="1"/>
          </rPr>
          <t xml:space="preserve">
To know the people behind the business.</t>
        </r>
      </text>
    </comment>
    <comment ref="H7" authorId="0" shapeId="0">
      <text>
        <r>
          <rPr>
            <b/>
            <sz val="9"/>
            <color indexed="81"/>
            <rFont val="Tahoma"/>
            <charset val="1"/>
          </rPr>
          <t>Author:</t>
        </r>
        <r>
          <rPr>
            <sz val="9"/>
            <color indexed="81"/>
            <rFont val="Tahoma"/>
            <charset val="1"/>
          </rPr>
          <t xml:space="preserve">
Do sanity check to eliminate criminal background, intense political affiliations etc.</t>
        </r>
      </text>
    </comment>
    <comment ref="H8" authorId="0" shapeId="0">
      <text>
        <r>
          <rPr>
            <b/>
            <sz val="9"/>
            <color indexed="81"/>
            <rFont val="Tahoma"/>
            <charset val="1"/>
          </rPr>
          <t>Author:</t>
        </r>
        <r>
          <rPr>
            <sz val="9"/>
            <color indexed="81"/>
            <rFont val="Tahoma"/>
            <charset val="1"/>
          </rPr>
          <t xml:space="preserve">
To know the product better. Demand and Supply dynamics of the product.</t>
        </r>
      </text>
    </comment>
    <comment ref="H9" authorId="0" shapeId="0">
      <text>
        <r>
          <rPr>
            <b/>
            <sz val="9"/>
            <color indexed="81"/>
            <rFont val="Tahoma"/>
            <charset val="1"/>
          </rPr>
          <t>Author:</t>
        </r>
        <r>
          <rPr>
            <sz val="9"/>
            <color indexed="81"/>
            <rFont val="Tahoma"/>
            <charset val="1"/>
          </rPr>
          <t xml:space="preserve">
To get a sense of their geographical presence. Also, if plants are located at prime location, the value of such plants could go off balance sheet making it highly undervalued.</t>
        </r>
      </text>
    </comment>
    <comment ref="H11" authorId="0" shapeId="0">
      <text>
        <r>
          <rPr>
            <b/>
            <sz val="9"/>
            <color indexed="81"/>
            <rFont val="Tahoma"/>
            <charset val="1"/>
          </rPr>
          <t>Author:</t>
        </r>
        <r>
          <rPr>
            <sz val="9"/>
            <color indexed="81"/>
            <rFont val="Tahoma"/>
            <charset val="1"/>
          </rPr>
          <t xml:space="preserve">
An idea about their operational abilities, demand of their product and positioning of future demand.</t>
        </r>
      </text>
    </comment>
    <comment ref="H12" authorId="0" shapeId="0">
      <text>
        <r>
          <rPr>
            <b/>
            <sz val="9"/>
            <color indexed="81"/>
            <rFont val="Tahoma"/>
            <charset val="1"/>
          </rPr>
          <t>Author:</t>
        </r>
        <r>
          <rPr>
            <sz val="9"/>
            <color indexed="81"/>
            <rFont val="Tahoma"/>
            <charset val="1"/>
          </rPr>
          <t xml:space="preserve">
Help us understand the dependency of raw material.</t>
        </r>
      </text>
    </comment>
    <comment ref="H13" authorId="0" shapeId="0">
      <text>
        <r>
          <rPr>
            <b/>
            <sz val="9"/>
            <color indexed="81"/>
            <rFont val="Tahoma"/>
            <charset val="1"/>
          </rPr>
          <t>Author:</t>
        </r>
        <r>
          <rPr>
            <sz val="9"/>
            <color indexed="81"/>
            <rFont val="Tahoma"/>
            <charset val="1"/>
          </rPr>
          <t xml:space="preserve">
By knowing the client base, we get a sense of the sales cycle. Efforts required to sell company's product. Concentration Risk if single client.</t>
        </r>
      </text>
    </comment>
    <comment ref="H14" authorId="0" shapeId="0">
      <text>
        <r>
          <rPr>
            <b/>
            <sz val="9"/>
            <color indexed="81"/>
            <rFont val="Tahoma"/>
            <charset val="1"/>
          </rPr>
          <t>Author:</t>
        </r>
        <r>
          <rPr>
            <sz val="9"/>
            <color indexed="81"/>
            <rFont val="Tahoma"/>
            <charset val="1"/>
          </rPr>
          <t xml:space="preserve">
Too many competitors means pressure on margins, the company needs to innovate consistently. Margins are higher if the company operates in monopoly, oligopoly, duopoly etc.</t>
        </r>
      </text>
    </comment>
    <comment ref="H15" authorId="0" shapeId="0">
      <text>
        <r>
          <rPr>
            <b/>
            <sz val="9"/>
            <color indexed="81"/>
            <rFont val="Tahoma"/>
            <charset val="1"/>
          </rPr>
          <t>Author:</t>
        </r>
        <r>
          <rPr>
            <sz val="9"/>
            <color indexed="81"/>
            <rFont val="Tahoma"/>
            <charset val="1"/>
          </rPr>
          <t xml:space="preserve">
Important to know who else owns company besides promotors and promotor group. If a highly successful investor helds the share in the company (it maybe a good sign!)</t>
        </r>
      </text>
    </comment>
    <comment ref="H16" authorId="0" shapeId="0">
      <text>
        <r>
          <rPr>
            <b/>
            <sz val="9"/>
            <color indexed="81"/>
            <rFont val="Tahoma"/>
            <charset val="1"/>
          </rPr>
          <t>Author:</t>
        </r>
        <r>
          <rPr>
            <sz val="9"/>
            <color indexed="81"/>
            <rFont val="Tahoma"/>
            <charset val="1"/>
          </rPr>
          <t xml:space="preserve">
Gives a sense of how ambitions and innovative the company is. While launching the product outside their domain could be a red flag. Possibility that company is losing focus.</t>
        </r>
      </text>
    </comment>
    <comment ref="H17" authorId="0" shapeId="0">
      <text>
        <r>
          <rPr>
            <b/>
            <sz val="9"/>
            <color indexed="81"/>
            <rFont val="Tahoma"/>
            <charset val="1"/>
          </rPr>
          <t>Author:</t>
        </r>
        <r>
          <rPr>
            <sz val="9"/>
            <color indexed="81"/>
            <rFont val="Tahoma"/>
            <charset val="1"/>
          </rPr>
          <t xml:space="preserve">
Gives a sense of how ambitions and innovative the company is. Is company ready for global expansion or will it backfire?</t>
        </r>
      </text>
    </comment>
    <comment ref="H18" authorId="0" shapeId="0">
      <text>
        <r>
          <rPr>
            <b/>
            <sz val="9"/>
            <color indexed="81"/>
            <rFont val="Tahoma"/>
            <charset val="1"/>
          </rPr>
          <t>Author:</t>
        </r>
        <r>
          <rPr>
            <sz val="9"/>
            <color indexed="81"/>
            <rFont val="Tahoma"/>
            <charset val="1"/>
          </rPr>
          <t xml:space="preserve">
Helps us understand which segment/product contribute the most in revenue. This further helps us understand the key drivers for future revenue growth.</t>
        </r>
      </text>
    </comment>
    <comment ref="H19" authorId="0" shapeId="0">
      <text>
        <r>
          <rPr>
            <b/>
            <sz val="9"/>
            <color indexed="81"/>
            <rFont val="Tahoma"/>
            <charset val="1"/>
          </rPr>
          <t>Author:</t>
        </r>
        <r>
          <rPr>
            <sz val="9"/>
            <color indexed="81"/>
            <rFont val="Tahoma"/>
            <charset val="1"/>
          </rPr>
          <t xml:space="preserve">
It is good and bad. It acts as a natural entry barrier for new players to enter the market. Bad as it limits choices when it comes to being innovative in the industry.</t>
        </r>
      </text>
    </comment>
    <comment ref="H20" authorId="0" shapeId="0">
      <text>
        <r>
          <rPr>
            <b/>
            <sz val="9"/>
            <color indexed="81"/>
            <rFont val="Tahoma"/>
            <charset val="1"/>
          </rPr>
          <t>Author:</t>
        </r>
        <r>
          <rPr>
            <sz val="9"/>
            <color indexed="81"/>
            <rFont val="Tahoma"/>
            <charset val="1"/>
          </rPr>
          <t xml:space="preserve">
Always good to know, as possibilties of conflict of interest. Association with scandalious agencies.</t>
        </r>
      </text>
    </comment>
    <comment ref="H21" authorId="0" shapeId="0">
      <text>
        <r>
          <rPr>
            <b/>
            <sz val="9"/>
            <color indexed="81"/>
            <rFont val="Tahoma"/>
            <charset val="1"/>
          </rPr>
          <t>Author:</t>
        </r>
        <r>
          <rPr>
            <sz val="9"/>
            <color indexed="81"/>
            <rFont val="Tahoma"/>
            <charset val="1"/>
          </rPr>
          <t xml:space="preserve">
Gives the sense of how labor intensive the company operations are. Also if company requires a lot of people with niche skills (red flag).</t>
        </r>
      </text>
    </comment>
    <comment ref="H22" authorId="0" shapeId="0">
      <text>
        <r>
          <rPr>
            <b/>
            <sz val="9"/>
            <color indexed="81"/>
            <rFont val="Tahoma"/>
            <charset val="1"/>
          </rPr>
          <t>Author:</t>
        </r>
        <r>
          <rPr>
            <sz val="9"/>
            <color indexed="81"/>
            <rFont val="Tahoma"/>
            <charset val="1"/>
          </rPr>
          <t xml:space="preserve">
Helps us understand how easy or difficult it is for a new company to enter and eat away the margins.</t>
        </r>
      </text>
    </comment>
    <comment ref="H23" authorId="0" shapeId="0">
      <text>
        <r>
          <rPr>
            <b/>
            <sz val="9"/>
            <color indexed="81"/>
            <rFont val="Tahoma"/>
            <charset val="1"/>
          </rPr>
          <t>Author:</t>
        </r>
        <r>
          <rPr>
            <sz val="9"/>
            <color indexed="81"/>
            <rFont val="Tahoma"/>
            <charset val="1"/>
          </rPr>
          <t xml:space="preserve">
If yes, it's a big red flag.</t>
        </r>
      </text>
    </comment>
    <comment ref="H24" authorId="0" shapeId="0">
      <text>
        <r>
          <rPr>
            <b/>
            <sz val="9"/>
            <color indexed="81"/>
            <rFont val="Tahoma"/>
            <charset val="1"/>
          </rPr>
          <t>Author:</t>
        </r>
        <r>
          <rPr>
            <sz val="9"/>
            <color indexed="81"/>
            <rFont val="Tahoma"/>
            <charset val="1"/>
          </rPr>
          <t xml:space="preserve">
If yes, you need to question why? Is this a geniune business requirement? Or is this a way to siphon off the fund?</t>
        </r>
      </text>
    </comment>
  </commentList>
</comments>
</file>

<file path=xl/sharedStrings.xml><?xml version="1.0" encoding="utf-8"?>
<sst xmlns="http://schemas.openxmlformats.org/spreadsheetml/2006/main" count="1318" uniqueCount="769">
  <si>
    <t xml:space="preserve">#                </t>
  </si>
  <si>
    <t>Worksheet</t>
  </si>
  <si>
    <t>D&amp;A</t>
  </si>
  <si>
    <t>EBIT</t>
  </si>
  <si>
    <t>Revenues</t>
  </si>
  <si>
    <t>WACC</t>
  </si>
  <si>
    <t>Cost of Capital</t>
  </si>
  <si>
    <t>Cost of Equity</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</si>
  <si>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</si>
  <si>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</si>
  <si>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</si>
  <si>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</si>
  <si>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</si>
  <si>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</si>
  <si>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</si>
  <si>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</si>
  <si>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</si>
  <si>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</si>
  <si>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</si>
  <si>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</si>
  <si>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</si>
  <si>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</si>
  <si>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</si>
  <si>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</si>
  <si>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</si>
  <si>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</si>
  <si>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</si>
  <si>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</si>
  <si>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</si>
  <si>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</si>
  <si>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</si>
  <si>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Year</t>
  </si>
  <si>
    <t>-</t>
  </si>
  <si>
    <t>Ticker</t>
  </si>
  <si>
    <t>EV/Sales</t>
  </si>
  <si>
    <t>Bottom-Up Beta</t>
  </si>
  <si>
    <t>Pre-Tax Cost of Debt</t>
  </si>
  <si>
    <t>Market Value of Debt</t>
  </si>
  <si>
    <t>Number of Shares Outstanding</t>
  </si>
  <si>
    <t>Market Capitalization</t>
  </si>
  <si>
    <t>Cash Flows</t>
  </si>
  <si>
    <t>Valuation Index</t>
  </si>
  <si>
    <t>+</t>
  </si>
  <si>
    <t>Adjusted EBIT</t>
  </si>
  <si>
    <t>Net CapEx</t>
  </si>
  <si>
    <t>Capital Expenditures (CapEx)</t>
  </si>
  <si>
    <t>Account Payables</t>
  </si>
  <si>
    <t>Non Cash Working Capital</t>
  </si>
  <si>
    <t>EBIT * (1 - Tax Rate)</t>
  </si>
  <si>
    <t>Free Cash Flow to Firm (FCFF)</t>
  </si>
  <si>
    <t>Reinvestment</t>
  </si>
  <si>
    <t>Finance Cost</t>
  </si>
  <si>
    <t>Adjusted EBT</t>
  </si>
  <si>
    <t>Adjusted Net Income</t>
  </si>
  <si>
    <t>Principle Repayments</t>
  </si>
  <si>
    <t>New Debt Issue</t>
  </si>
  <si>
    <t>Free Cash Flow to Equity (FCFE)</t>
  </si>
  <si>
    <t>FCFE &amp; FCFF</t>
  </si>
  <si>
    <t>FCFF &amp; FCFE</t>
  </si>
  <si>
    <t>Account Recievables</t>
  </si>
  <si>
    <t>Working capital as % of revenues</t>
  </si>
  <si>
    <t>Non Cash Current Assets</t>
  </si>
  <si>
    <t>Non Debt Current Liabilities</t>
  </si>
  <si>
    <t>Average WC as % of revenues</t>
  </si>
  <si>
    <t>Non Cash Working Capital (2021)</t>
  </si>
  <si>
    <t>Revenues (2021)</t>
  </si>
  <si>
    <t>Expected Growth Rate</t>
  </si>
  <si>
    <t>Future Cash Flows (10 Yrs)</t>
  </si>
  <si>
    <t>Terminal Value</t>
  </si>
  <si>
    <t>Growth &amp; TV</t>
  </si>
  <si>
    <t>Reinvestment Rate</t>
  </si>
  <si>
    <t>Sales to Capital</t>
  </si>
  <si>
    <t>FCFF</t>
  </si>
  <si>
    <t>Invested Capital</t>
  </si>
  <si>
    <t>ROIC</t>
  </si>
  <si>
    <t>Growth Rate &amp; TV</t>
  </si>
  <si>
    <t>Growth Rate in perpetuity</t>
  </si>
  <si>
    <t>ROIC in perpetuity</t>
  </si>
  <si>
    <t>EBIT (11th Year)</t>
  </si>
  <si>
    <t>Marginal Tax Rate (%)</t>
  </si>
  <si>
    <t>FCFF (11th Year)</t>
  </si>
  <si>
    <t>% of Debt</t>
  </si>
  <si>
    <t>% of Equity</t>
  </si>
  <si>
    <t>Mature WACC</t>
  </si>
  <si>
    <t>Cash &amp; Marketable Securities</t>
  </si>
  <si>
    <t>Cash and cash equivalents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</si>
  <si>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</si>
  <si>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</si>
  <si>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</si>
  <si>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</si>
  <si>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</si>
  <si>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</si>
  <si>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</si>
  <si>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</si>
  <si>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</si>
  <si>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</si>
  <si>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</si>
  <si>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</si>
  <si>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</si>
  <si>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Value of Operating Assets</t>
  </si>
  <si>
    <t>Value of Other Assets</t>
  </si>
  <si>
    <t>Value of Equity Options</t>
  </si>
  <si>
    <t>Value of Common Stock</t>
  </si>
  <si>
    <t>Fair Value of Share</t>
  </si>
  <si>
    <t>Road to Fair Value of Share</t>
  </si>
  <si>
    <t>N/A</t>
  </si>
  <si>
    <t>EBIT * (1 - Tax)</t>
  </si>
  <si>
    <t>OPM %</t>
  </si>
  <si>
    <t>Mature Risk Premium</t>
  </si>
  <si>
    <t>ERP</t>
  </si>
  <si>
    <t>Companies</t>
  </si>
  <si>
    <t>Unlevered Beta</t>
  </si>
  <si>
    <t>Amortization</t>
  </si>
  <si>
    <t>Median WC as % of Revenues</t>
  </si>
  <si>
    <t>OPM</t>
  </si>
  <si>
    <t>Options Value</t>
  </si>
  <si>
    <t>Options as a % Revenues</t>
  </si>
  <si>
    <t>Future Value of Equity Options</t>
  </si>
  <si>
    <t>CRP</t>
  </si>
  <si>
    <t>Interest</t>
  </si>
  <si>
    <t>ICR (%)</t>
  </si>
  <si>
    <t>Average ICR (%)</t>
  </si>
  <si>
    <t>%</t>
  </si>
  <si>
    <t>Maturity</t>
  </si>
  <si>
    <t>Years</t>
  </si>
  <si>
    <t>Based on Debt Equity Ratio (Industry Median)</t>
  </si>
  <si>
    <t>Median Option as a % of revenues</t>
  </si>
  <si>
    <t>Total Debt</t>
  </si>
  <si>
    <t>Risk Free Rate &amp; Equity Risk Premium</t>
  </si>
  <si>
    <t>Corporate Governance</t>
  </si>
  <si>
    <t>Name</t>
  </si>
  <si>
    <t>Designation</t>
  </si>
  <si>
    <t>Management</t>
  </si>
  <si>
    <t>Board of Directors</t>
  </si>
  <si>
    <t>*</t>
  </si>
  <si>
    <t>Audit</t>
  </si>
  <si>
    <t>Board</t>
  </si>
  <si>
    <t>Shareholder Rights</t>
  </si>
  <si>
    <t>Compensation</t>
  </si>
  <si>
    <t>Levered Beta</t>
  </si>
  <si>
    <t>Firm Value</t>
  </si>
  <si>
    <t>Cash</t>
  </si>
  <si>
    <t>EV</t>
  </si>
  <si>
    <t>Cash/Firm Value</t>
  </si>
  <si>
    <t>Gross D/E</t>
  </si>
  <si>
    <t>Sales</t>
  </si>
  <si>
    <t>Beta Calculation Data</t>
  </si>
  <si>
    <t>Market Cap (m)</t>
  </si>
  <si>
    <t>Median Beta</t>
  </si>
  <si>
    <t>Median D/E</t>
  </si>
  <si>
    <t>Median Cash/FV</t>
  </si>
  <si>
    <t>Debt to Equity</t>
  </si>
  <si>
    <t>Pre Tax Cost of Debt</t>
  </si>
  <si>
    <t>% Equity</t>
  </si>
  <si>
    <t>% Debt</t>
  </si>
  <si>
    <t>Marginal Tax Rate %</t>
  </si>
  <si>
    <t>Cost of Equity, Debt &amp; WACC</t>
  </si>
  <si>
    <t>Risk Free Rate &amp; ERP</t>
  </si>
  <si>
    <t>Bottom Up Beta</t>
  </si>
  <si>
    <t>AAA</t>
  </si>
  <si>
    <t>Gross Profit</t>
  </si>
  <si>
    <t>Value of R&amp;D Asset</t>
  </si>
  <si>
    <t>R&amp;D Expense (Current)</t>
  </si>
  <si>
    <t>Amortization: R&amp;D Expense</t>
  </si>
  <si>
    <t>Capital Expenditure (CapEx)</t>
  </si>
  <si>
    <t>Depreciation</t>
  </si>
  <si>
    <t>% Depn</t>
  </si>
  <si>
    <t>Acquisitions</t>
  </si>
  <si>
    <t>R&amp;D Expense (Current Year)</t>
  </si>
  <si>
    <t>Amortization Asset: R&amp;D Expense</t>
  </si>
  <si>
    <t>Invested Cap</t>
  </si>
  <si>
    <t>Industry's Sales to Capital</t>
  </si>
  <si>
    <t>Industry Debt to Equity</t>
  </si>
  <si>
    <t>25th Percentile of Industry</t>
  </si>
  <si>
    <t>Accounting Adjustments</t>
  </si>
  <si>
    <t>Chg. in Non Cash Working Capital</t>
  </si>
  <si>
    <t>Spread (%)</t>
  </si>
  <si>
    <t>Ad Exp</t>
  </si>
  <si>
    <t>ROAS</t>
  </si>
  <si>
    <t>Book Value of Debt</t>
  </si>
  <si>
    <t>Current Synthetic Rating</t>
  </si>
  <si>
    <t>EBIT &amp; R&amp;D &amp; Ad</t>
  </si>
  <si>
    <t>Adj Net Capital Expenditures</t>
  </si>
  <si>
    <t>EBIT Margin %</t>
  </si>
  <si>
    <t>Amortization (2021 weights)</t>
  </si>
  <si>
    <t>Amortization (2020 weights)</t>
  </si>
  <si>
    <t>Amortization (2019 weights)</t>
  </si>
  <si>
    <t>Amortization (2018 weights)</t>
  </si>
  <si>
    <t>Amortization (TTM weights)</t>
  </si>
  <si>
    <t>Amortized Value (TTM)</t>
  </si>
  <si>
    <t>Amortized Value (2021)</t>
  </si>
  <si>
    <t>Amortized Value (2020)</t>
  </si>
  <si>
    <t>Amortized Value (2019)</t>
  </si>
  <si>
    <t>Amortized Value (2018)</t>
  </si>
  <si>
    <t>Amortization (TTM)</t>
  </si>
  <si>
    <t>Amortization (2021)</t>
  </si>
  <si>
    <t>Amortization (2020)</t>
  </si>
  <si>
    <t>Amortization (2019)</t>
  </si>
  <si>
    <t>Amortization (2018)</t>
  </si>
  <si>
    <t>Return on Capital %</t>
  </si>
  <si>
    <t>Median EBIT Margin %</t>
  </si>
  <si>
    <t>Normalized EBIT</t>
  </si>
  <si>
    <t>At 90th %ile</t>
  </si>
  <si>
    <t>At 75th %ile</t>
  </si>
  <si>
    <t>At 50th %ile</t>
  </si>
  <si>
    <t>At 25th %ile</t>
  </si>
  <si>
    <t>Marginal Tax %</t>
  </si>
  <si>
    <t>Interest Coverage Ratio will be above 8.5</t>
  </si>
  <si>
    <t>Revenue (TTM)</t>
  </si>
  <si>
    <t>Market Cap</t>
  </si>
  <si>
    <t>EBIT (TTM)</t>
  </si>
  <si>
    <t>Revenue Growth %</t>
  </si>
  <si>
    <t>Beta</t>
  </si>
  <si>
    <t>WACC %</t>
  </si>
  <si>
    <t>CG Score</t>
  </si>
  <si>
    <t>Revenue From Operations</t>
  </si>
  <si>
    <t>R&amp;D</t>
  </si>
  <si>
    <t>Ads</t>
  </si>
  <si>
    <t>G&amp;A</t>
  </si>
  <si>
    <t>COGS</t>
  </si>
  <si>
    <t>Operating Profit Waterfall</t>
  </si>
  <si>
    <t>Shareholding Pattern</t>
  </si>
  <si>
    <t>Ownership</t>
  </si>
  <si>
    <t>Institutional</t>
  </si>
  <si>
    <t>Insider</t>
  </si>
  <si>
    <t>Retail</t>
  </si>
  <si>
    <t>Revenue - Geography</t>
  </si>
  <si>
    <t>Key Ratios</t>
  </si>
  <si>
    <t>Industry</t>
  </si>
  <si>
    <t>Stock Price Data</t>
  </si>
  <si>
    <t>Debt to Capital</t>
  </si>
  <si>
    <t>Risk Free Rate</t>
  </si>
  <si>
    <t>Spread</t>
  </si>
  <si>
    <t>D</t>
  </si>
  <si>
    <t>If interest coverage ratio is</t>
  </si>
  <si>
    <t>Rating is</t>
  </si>
  <si>
    <t>For Small Cap Companies</t>
  </si>
  <si>
    <t>For Large Cap Companies</t>
  </si>
  <si>
    <t>Pretax Kd</t>
  </si>
  <si>
    <t>EBIT TTM</t>
  </si>
  <si>
    <t>A-</t>
  </si>
  <si>
    <t>BBB</t>
  </si>
  <si>
    <t>CC</t>
  </si>
  <si>
    <t>CCC</t>
  </si>
  <si>
    <t>B-</t>
  </si>
  <si>
    <t>B</t>
  </si>
  <si>
    <t>B+</t>
  </si>
  <si>
    <t>BB</t>
  </si>
  <si>
    <t>A</t>
  </si>
  <si>
    <t>A+</t>
  </si>
  <si>
    <t>AA</t>
  </si>
  <si>
    <t>Large Cap = 1; Small Cap = 0</t>
  </si>
  <si>
    <t>Type of Firm</t>
  </si>
  <si>
    <t>Rating</t>
  </si>
  <si>
    <t>Firm Value (Mkt)</t>
  </si>
  <si>
    <t>Aftertax Kd</t>
  </si>
  <si>
    <t>Tax Rate</t>
  </si>
  <si>
    <t>optimal</t>
  </si>
  <si>
    <t>Optimal Cost of Capital</t>
  </si>
  <si>
    <t>ICR</t>
  </si>
  <si>
    <t>Financing Decision</t>
  </si>
  <si>
    <t>Book value of interest bearing debt</t>
  </si>
  <si>
    <t>Market value of interest bearing debt</t>
  </si>
  <si>
    <t>Lease Debt</t>
  </si>
  <si>
    <t>Type of Debt</t>
  </si>
  <si>
    <t>Bank Debt</t>
  </si>
  <si>
    <t>Bonds/Notes</t>
  </si>
  <si>
    <t>&lt; 1 year</t>
  </si>
  <si>
    <t>10-20 years</t>
  </si>
  <si>
    <t>5-10 years</t>
  </si>
  <si>
    <t>1-5 years</t>
  </si>
  <si>
    <t>&gt; 20 years</t>
  </si>
  <si>
    <t>Debt Maturity</t>
  </si>
  <si>
    <t>Currency of Debt</t>
  </si>
  <si>
    <t>Debt in domestic currency</t>
  </si>
  <si>
    <t>Debt in foriegn currency</t>
  </si>
  <si>
    <t>Fixed or Floating</t>
  </si>
  <si>
    <t>Fixed Rate Debt</t>
  </si>
  <si>
    <t>Floating Rate Debt</t>
  </si>
  <si>
    <t>Debt Explained</t>
  </si>
  <si>
    <t>Adjusted Present Value</t>
  </si>
  <si>
    <t>Tax Benefits</t>
  </si>
  <si>
    <t>Exp Bankruptcy</t>
  </si>
  <si>
    <t>Exp Bankruptcy Cost</t>
  </si>
  <si>
    <t>Prob. of Default</t>
  </si>
  <si>
    <t>High</t>
  </si>
  <si>
    <t>Medium</t>
  </si>
  <si>
    <t>Low</t>
  </si>
  <si>
    <t>Indirect Bankruptcy</t>
  </si>
  <si>
    <t>Unlevered Firm Value</t>
  </si>
  <si>
    <t>Unlevered FV</t>
  </si>
  <si>
    <t>High; Medium; Low</t>
  </si>
  <si>
    <t>Firm's Exposure</t>
  </si>
  <si>
    <t>Value of Unlevered Firm</t>
  </si>
  <si>
    <t>Current Rating</t>
  </si>
  <si>
    <t>Weighted Avg CRP</t>
  </si>
  <si>
    <t>Debt to Equity (BV)</t>
  </si>
  <si>
    <t>Revenues (2022)</t>
  </si>
  <si>
    <t>Non Cash Working Capital (2022)</t>
  </si>
  <si>
    <t>Country Risk Premium</t>
  </si>
  <si>
    <t>Debt Ratio</t>
  </si>
  <si>
    <t>PV of Cashflows</t>
  </si>
  <si>
    <t>PV * Year</t>
  </si>
  <si>
    <t>Duration of the operating assets</t>
  </si>
  <si>
    <t>Debt Design Explained</t>
  </si>
  <si>
    <t>10-Year Gov. Bond Yield</t>
  </si>
  <si>
    <t>Default Spread</t>
  </si>
  <si>
    <t>Debt (m)</t>
  </si>
  <si>
    <t>Adj. Unlevered Beta</t>
  </si>
  <si>
    <t>Sector</t>
  </si>
  <si>
    <t>Adj EBIT (1 - Tax)</t>
  </si>
  <si>
    <t>Other Current Assets</t>
  </si>
  <si>
    <t>Adj Chg in Non Cash WC</t>
  </si>
  <si>
    <t>Net Borrowing</t>
  </si>
  <si>
    <t>Key Performance Indicators</t>
  </si>
  <si>
    <t>Last 5 Years</t>
  </si>
  <si>
    <t>Short Term Investments</t>
  </si>
  <si>
    <t>Debt</t>
  </si>
  <si>
    <t>Dividend Decision</t>
  </si>
  <si>
    <t>Dividends</t>
  </si>
  <si>
    <t>Aggregate</t>
  </si>
  <si>
    <t>Net Income</t>
  </si>
  <si>
    <t>Capital Exp.</t>
  </si>
  <si>
    <t>Chg. In WC</t>
  </si>
  <si>
    <t>Principal Repay.</t>
  </si>
  <si>
    <t>FCFE</t>
  </si>
  <si>
    <t>Cash Return Ratio</t>
  </si>
  <si>
    <t>Return on Invested Capital</t>
  </si>
  <si>
    <t>Quality of Current Projects</t>
  </si>
  <si>
    <t>NYSE</t>
  </si>
  <si>
    <t>$ Risk Free Rate</t>
  </si>
  <si>
    <t>United States</t>
  </si>
  <si>
    <t>Long-term debt, net</t>
  </si>
  <si>
    <t>Interest Expense</t>
  </si>
  <si>
    <t>Average Maturity of Debt (Yrs)</t>
  </si>
  <si>
    <t>Est. Market Value of Debt</t>
  </si>
  <si>
    <t>Pre tax Cost of Debt</t>
  </si>
  <si>
    <t>Accrued Expenses</t>
  </si>
  <si>
    <t>Net Working Capital</t>
  </si>
  <si>
    <t>Goodwill</t>
  </si>
  <si>
    <t>Intangible assets, net</t>
  </si>
  <si>
    <t>PP&amp;E, net</t>
  </si>
  <si>
    <t>Long Term Debt, net</t>
  </si>
  <si>
    <t>Shareholder's equity</t>
  </si>
  <si>
    <t>Amortization Asset: R&amp;D</t>
  </si>
  <si>
    <t>Other long term liabilities</t>
  </si>
  <si>
    <t>Other Long Term Assets</t>
  </si>
  <si>
    <t>Principal Repayments</t>
  </si>
  <si>
    <t>as of Dec 2022</t>
  </si>
  <si>
    <t>Total</t>
  </si>
  <si>
    <t>in mil $</t>
  </si>
  <si>
    <t>Regions</t>
  </si>
  <si>
    <t>Tax %</t>
  </si>
  <si>
    <t>all figures in mil</t>
  </si>
  <si>
    <t>Value</t>
  </si>
  <si>
    <t>Total Debt Obligations</t>
  </si>
  <si>
    <t>in m/d/yyyy</t>
  </si>
  <si>
    <t>Intt Rate %</t>
  </si>
  <si>
    <t>Drivers</t>
  </si>
  <si>
    <t>Company Name</t>
  </si>
  <si>
    <t>Current Stock Price</t>
  </si>
  <si>
    <t>Currency</t>
  </si>
  <si>
    <t>$</t>
  </si>
  <si>
    <t>Valuation Date</t>
  </si>
  <si>
    <t>About Company</t>
  </si>
  <si>
    <t>Shares Out. (in m)</t>
  </si>
  <si>
    <t>About</t>
  </si>
  <si>
    <t>Exchange</t>
  </si>
  <si>
    <t>Country</t>
  </si>
  <si>
    <t>USA</t>
  </si>
  <si>
    <t>Cost of Capital Inputs</t>
  </si>
  <si>
    <t xml:space="preserve"> </t>
  </si>
  <si>
    <t>Basic Inputs</t>
  </si>
  <si>
    <t>Synthetic Default Spread</t>
  </si>
  <si>
    <t>Income Statement</t>
  </si>
  <si>
    <t>Invested Capital (Operating Approach)</t>
  </si>
  <si>
    <t>Invested Capital (Financing Approach)</t>
  </si>
  <si>
    <t>Capitalizing R&amp;D Expense</t>
  </si>
  <si>
    <t>R&amp;D Expense</t>
  </si>
  <si>
    <t>Net Capital Expenditures</t>
  </si>
  <si>
    <t>Fixed Assets Schedule</t>
  </si>
  <si>
    <t>Working Capital Schedule</t>
  </si>
  <si>
    <t>Net Debt/Borrowings Schedule</t>
  </si>
  <si>
    <t>Industry's OPM</t>
  </si>
  <si>
    <t>Industry and Revenue Projections</t>
  </si>
  <si>
    <t>eCommerce Industry</t>
  </si>
  <si>
    <t>Growth Rate %</t>
  </si>
  <si>
    <t>First 5 Years</t>
  </si>
  <si>
    <t>Operating Costs</t>
  </si>
  <si>
    <t>Operating Margin %</t>
  </si>
  <si>
    <t>Operating Income (EBIT)</t>
  </si>
  <si>
    <t>Taxes</t>
  </si>
  <si>
    <t>Tax Rate %</t>
  </si>
  <si>
    <t>Net Operating Profit After Tax</t>
  </si>
  <si>
    <t>Change in Revenues</t>
  </si>
  <si>
    <t>Sales to Invested Capital</t>
  </si>
  <si>
    <t>Return on Invested Capital %</t>
  </si>
  <si>
    <t>Free Cash Flow to Firm</t>
  </si>
  <si>
    <t>Future CashFlows (10Y)</t>
  </si>
  <si>
    <t>Reinvestment Rate %</t>
  </si>
  <si>
    <t>Cost of Capital (Mature Company)</t>
  </si>
  <si>
    <t>Excess Return</t>
  </si>
  <si>
    <t>Adj Cash and Marketable Securities</t>
  </si>
  <si>
    <t>Contingent Liabilities</t>
  </si>
  <si>
    <t>Option Value as a % of revenues</t>
  </si>
  <si>
    <t>Operating Profit Margin %</t>
  </si>
  <si>
    <t>Value of Options</t>
  </si>
  <si>
    <t>Future Option Value</t>
  </si>
  <si>
    <t>Future Value of Options</t>
  </si>
  <si>
    <t>Sensitivity Analysis</t>
  </si>
  <si>
    <t>Discount Rate WACC</t>
  </si>
  <si>
    <t>PV of Free Cash Flows</t>
  </si>
  <si>
    <t>Value Drivers</t>
  </si>
  <si>
    <t>Growth Rate</t>
  </si>
  <si>
    <t>Revenue %</t>
  </si>
  <si>
    <t>What If Analysis</t>
  </si>
  <si>
    <t>Scenario Analysis</t>
  </si>
  <si>
    <t>What If #1</t>
  </si>
  <si>
    <t>What If #2</t>
  </si>
  <si>
    <t>What If #3</t>
  </si>
  <si>
    <t>Gross profit</t>
  </si>
  <si>
    <t>Operating expenses:</t>
  </si>
  <si>
    <t> </t>
  </si>
  <si>
    <t>Marketing</t>
  </si>
  <si>
    <t>Product development</t>
  </si>
  <si>
    <t>General and administrative</t>
  </si>
  <si>
    <t>Total operating expenses</t>
  </si>
  <si>
    <t>Other (expense) income:</t>
  </si>
  <si>
    <t>Interest expense</t>
  </si>
  <si>
    <t>Total other (expense) income</t>
  </si>
  <si>
    <t>(Provision) benefit for income taxes</t>
  </si>
  <si>
    <t>Net (loss) income</t>
  </si>
  <si>
    <t>Basic (in dollars per share)</t>
  </si>
  <si>
    <t>Basic (in shares)</t>
  </si>
  <si>
    <t>Earnings Before Taxes (EBT)</t>
  </si>
  <si>
    <t>Balance Sheet</t>
  </si>
  <si>
    <t>Current assets:</t>
  </si>
  <si>
    <t>Short-term investments</t>
  </si>
  <si>
    <t>Accounts receivable, net</t>
  </si>
  <si>
    <t>Total current assets</t>
  </si>
  <si>
    <t>Property and equipment, net</t>
  </si>
  <si>
    <t>Deferred tax assets</t>
  </si>
  <si>
    <t>Long-term investments</t>
  </si>
  <si>
    <t>Other assets</t>
  </si>
  <si>
    <t>Total assets</t>
  </si>
  <si>
    <t>Current liabilities:</t>
  </si>
  <si>
    <t>Accounts payable</t>
  </si>
  <si>
    <t>Accrued expenses</t>
  </si>
  <si>
    <t>Total current liabilities</t>
  </si>
  <si>
    <t>Deferred tax liabilities</t>
  </si>
  <si>
    <t>Other liabilities</t>
  </si>
  <si>
    <t>Total liabilities</t>
  </si>
  <si>
    <t>Stockholders’ (deficit) equity:</t>
  </si>
  <si>
    <t>Additional paid-in capital</t>
  </si>
  <si>
    <t>(Accumulated deficit) retained earnings</t>
  </si>
  <si>
    <t>Accumulated other comprehensive loss</t>
  </si>
  <si>
    <t>Common stock</t>
  </si>
  <si>
    <t>Preferred stock</t>
  </si>
  <si>
    <t>Total Equity</t>
  </si>
  <si>
    <t>Total liabilities and Equity</t>
  </si>
  <si>
    <t>Balance Check</t>
  </si>
  <si>
    <t>Resources</t>
  </si>
  <si>
    <t>Commitments and contingencies</t>
  </si>
  <si>
    <t>Cash Flow Statement</t>
  </si>
  <si>
    <t>Cash flows from operating activities</t>
  </si>
  <si>
    <t>Accounts receivable</t>
  </si>
  <si>
    <t>Cash flows from investing activities</t>
  </si>
  <si>
    <t>Net cash used in investing activities</t>
  </si>
  <si>
    <t>Cash flows from financing activities</t>
  </si>
  <si>
    <t>Effect of exchange rate changes on cash</t>
  </si>
  <si>
    <t>Adjustments:</t>
  </si>
  <si>
    <t>Chg in operating assets and liabilities</t>
  </si>
  <si>
    <t>Net cash from financing activities</t>
  </si>
  <si>
    <t>Net increase (decrease) in cash</t>
  </si>
  <si>
    <t>Cash (at end of period)</t>
  </si>
  <si>
    <t>Cash (at beginning of period)</t>
  </si>
  <si>
    <t>Net cash from operating activities</t>
  </si>
  <si>
    <t>Restricted Cash</t>
  </si>
  <si>
    <t>Growth Rate in Perpetuity</t>
  </si>
  <si>
    <t>Industry Growth - First 5Y</t>
  </si>
  <si>
    <t>Industry Growth - Last 5Y</t>
  </si>
  <si>
    <t>Stock Buybacks</t>
  </si>
  <si>
    <t>Total Cash Return</t>
  </si>
  <si>
    <t>Cash Return</t>
  </si>
  <si>
    <t>Free Cash Flow to Equity</t>
  </si>
  <si>
    <t>Football Field Chart</t>
  </si>
  <si>
    <t xml:space="preserve">Football Field </t>
  </si>
  <si>
    <t>Min</t>
  </si>
  <si>
    <t>Max</t>
  </si>
  <si>
    <t>Analyst's Range</t>
  </si>
  <si>
    <t>DCF Valuation</t>
  </si>
  <si>
    <t>52 Week Range</t>
  </si>
  <si>
    <t>Difference</t>
  </si>
  <si>
    <t>Questions</t>
  </si>
  <si>
    <t>What does the company do?</t>
  </si>
  <si>
    <t>Who are its promoters?</t>
  </si>
  <si>
    <t>What is their background?</t>
  </si>
  <si>
    <t>What do they manufacture/sell?</t>
  </si>
  <si>
    <t>How many plants/units they have?</t>
  </si>
  <si>
    <t>Where are those plants located?</t>
  </si>
  <si>
    <t>Are they running the plants at full capacity?</t>
  </si>
  <si>
    <t>What kind of raw material is required?</t>
  </si>
  <si>
    <t>Who are company's client/end users?</t>
  </si>
  <si>
    <t>Who are their competitors?</t>
  </si>
  <si>
    <t>Who are the major shareholders in company?</t>
  </si>
  <si>
    <t>Do they plan to launch any new products in future?</t>
  </si>
  <si>
    <t>Do they plan to expand to different countries?</t>
  </si>
  <si>
    <t>What is the revenue mix? Which product sells the most?</t>
  </si>
  <si>
    <t>Do they operate under heavy regulatory environment?</t>
  </si>
  <si>
    <t>Who are their bankers and auditors?</t>
  </si>
  <si>
    <t>How many employees do they have? Any Labor Issues?</t>
  </si>
  <si>
    <t>What are the entry barriers for new players?</t>
  </si>
  <si>
    <t>Does the company has too many subsidiaries?</t>
  </si>
  <si>
    <t>Is co. products be replecated in a country with cheap labor?</t>
  </si>
  <si>
    <t>The Boeing Company</t>
  </si>
  <si>
    <t>BA</t>
  </si>
  <si>
    <t>Industrials</t>
  </si>
  <si>
    <t>Aerospace &amp; Defense</t>
  </si>
  <si>
    <t>Data from wallstreetzen.com</t>
  </si>
  <si>
    <t>Gain on dispositions, net</t>
  </si>
  <si>
    <t>Other income, net</t>
  </si>
  <si>
    <t>(Loss)/income from op inv</t>
  </si>
  <si>
    <t>Revenue - Products</t>
  </si>
  <si>
    <t>Revenue - Service</t>
  </si>
  <si>
    <t>Cost - Products</t>
  </si>
  <si>
    <t>Cost - Service</t>
  </si>
  <si>
    <t>Total Revenue</t>
  </si>
  <si>
    <t>Total Cost of revenue</t>
  </si>
  <si>
    <t>Asia</t>
  </si>
  <si>
    <t>Europe</t>
  </si>
  <si>
    <t>Middle East</t>
  </si>
  <si>
    <t>Canada</t>
  </si>
  <si>
    <t>Oceania</t>
  </si>
  <si>
    <t>Africa</t>
  </si>
  <si>
    <t>Latin America, Caribbean</t>
  </si>
  <si>
    <t>Western Europe</t>
  </si>
  <si>
    <t>Eastern Europe &amp; Russia</t>
  </si>
  <si>
    <t>GDP</t>
  </si>
  <si>
    <t>in $</t>
  </si>
  <si>
    <t>Latin America &amp; Caribbean</t>
  </si>
  <si>
    <t>Central and South America</t>
  </si>
  <si>
    <t>Caribbean</t>
  </si>
  <si>
    <t>ACHR</t>
  </si>
  <si>
    <t>Archer Aviation Inc.</t>
  </si>
  <si>
    <t>AIR</t>
  </si>
  <si>
    <t>AAR Corp.</t>
  </si>
  <si>
    <t>AIRI</t>
  </si>
  <si>
    <t>Air Industries Group</t>
  </si>
  <si>
    <t>AJRD</t>
  </si>
  <si>
    <t>Aerojet Rocketdyne Holdings, Inc.</t>
  </si>
  <si>
    <t>ASTC</t>
  </si>
  <si>
    <t>Astrotech Corporation</t>
  </si>
  <si>
    <t>ASTR</t>
  </si>
  <si>
    <t>Astra Space, Inc.</t>
  </si>
  <si>
    <t>ATRO</t>
  </si>
  <si>
    <t>Astronics Corporation</t>
  </si>
  <si>
    <t>AULT</t>
  </si>
  <si>
    <t>Ault Alliance, Inc.</t>
  </si>
  <si>
    <t>AVAV</t>
  </si>
  <si>
    <t>AeroVironment, Inc.</t>
  </si>
  <si>
    <t>AXON</t>
  </si>
  <si>
    <t>Axon Enterprise, Inc.</t>
  </si>
  <si>
    <t>AZ</t>
  </si>
  <si>
    <t>A2Z Smart Technologies Corp.</t>
  </si>
  <si>
    <t>BWXT</t>
  </si>
  <si>
    <t>BWX Technologies, Inc.</t>
  </si>
  <si>
    <t>BYRN</t>
  </si>
  <si>
    <t>Byrna Technologies Inc.</t>
  </si>
  <si>
    <t>CAE</t>
  </si>
  <si>
    <t>CAE Inc.</t>
  </si>
  <si>
    <t>CDRE</t>
  </si>
  <si>
    <t>Cadre Holdings, Inc.</t>
  </si>
  <si>
    <t>CODA</t>
  </si>
  <si>
    <t>Coda Octopus Group, Inc.</t>
  </si>
  <si>
    <t>CVU</t>
  </si>
  <si>
    <t>CPI Aerostructures, Inc.</t>
  </si>
  <si>
    <t>CW</t>
  </si>
  <si>
    <t>Curtiss-Wright Corporation</t>
  </si>
  <si>
    <t>DCO</t>
  </si>
  <si>
    <t>Ducommun Incorporated</t>
  </si>
  <si>
    <t>DPRO</t>
  </si>
  <si>
    <t>Draganfly Inc.</t>
  </si>
  <si>
    <t>DRS</t>
  </si>
  <si>
    <t>Leonardo DRS, Inc.</t>
  </si>
  <si>
    <t>EH</t>
  </si>
  <si>
    <t>EHang Holdings Limited</t>
  </si>
  <si>
    <t>ERJ</t>
  </si>
  <si>
    <t>Embraer S.A.</t>
  </si>
  <si>
    <t>ESLT</t>
  </si>
  <si>
    <t>Elbit Systems Ltd.</t>
  </si>
  <si>
    <t>EVEX</t>
  </si>
  <si>
    <t>Eve Holding, Inc.</t>
  </si>
  <si>
    <t>EVTL</t>
  </si>
  <si>
    <t>Vertical Aerospace Ltd.</t>
  </si>
  <si>
    <t>GD</t>
  </si>
  <si>
    <t>General Dynamics Corporation</t>
  </si>
  <si>
    <t>HEI</t>
  </si>
  <si>
    <t>HEICO Corporation</t>
  </si>
  <si>
    <t>HEI-A</t>
  </si>
  <si>
    <t>HII</t>
  </si>
  <si>
    <t>Huntington Ingalls Industries, Inc.</t>
  </si>
  <si>
    <t>HWM</t>
  </si>
  <si>
    <t>Howmet Aerospace Inc.</t>
  </si>
  <si>
    <t>HXL</t>
  </si>
  <si>
    <t>Hexcel Corporation</t>
  </si>
  <si>
    <t>ISSC</t>
  </si>
  <si>
    <t>KAMN</t>
  </si>
  <si>
    <t>Kaman Corporation</t>
  </si>
  <si>
    <t>KITT</t>
  </si>
  <si>
    <t>Nauticus Robotics, Inc.</t>
  </si>
  <si>
    <t>KTOS</t>
  </si>
  <si>
    <t>KWE</t>
  </si>
  <si>
    <t>KWESST Micro Systems Inc.</t>
  </si>
  <si>
    <t>LHX</t>
  </si>
  <si>
    <t>L3Harris Technologies, Inc.</t>
  </si>
  <si>
    <t>LILM</t>
  </si>
  <si>
    <t>Lilium N.V.</t>
  </si>
  <si>
    <t>Kratos Defense &amp; Security</t>
  </si>
  <si>
    <t>Innovative Solutions</t>
  </si>
  <si>
    <t>LLAP</t>
  </si>
  <si>
    <t>Terran Orbital Corporation</t>
  </si>
  <si>
    <t>LMT</t>
  </si>
  <si>
    <t>Lockheed Martin Corporation</t>
  </si>
  <si>
    <t>LUNR</t>
  </si>
  <si>
    <t>Intuitive Machines, Inc.</t>
  </si>
  <si>
    <t>LUNRW</t>
  </si>
  <si>
    <t>MNTS</t>
  </si>
  <si>
    <t>Momentus Inc.</t>
  </si>
  <si>
    <t>MOG-A</t>
  </si>
  <si>
    <t>Moog Inc.</t>
  </si>
  <si>
    <t>MRCY</t>
  </si>
  <si>
    <t>Mercury Systems, Inc.</t>
  </si>
  <si>
    <t>NOC</t>
  </si>
  <si>
    <t>Northrop Grumman Corporation</t>
  </si>
  <si>
    <t>NPK</t>
  </si>
  <si>
    <t>National Presto Industries, Inc.</t>
  </si>
  <si>
    <t>OPXS</t>
  </si>
  <si>
    <t>Optex Systems Holdings, Inc</t>
  </si>
  <si>
    <t>PKE</t>
  </si>
  <si>
    <t>Park Aerospace Corp.</t>
  </si>
  <si>
    <t>PL</t>
  </si>
  <si>
    <t>Planet Labs PBC</t>
  </si>
  <si>
    <t>POWW</t>
  </si>
  <si>
    <t>AMMO, Inc.</t>
  </si>
  <si>
    <t>RDW</t>
  </si>
  <si>
    <t>Redwire Corporation</t>
  </si>
  <si>
    <t>RGR</t>
  </si>
  <si>
    <t>Sturm, Ruger &amp; Company, Inc.</t>
  </si>
  <si>
    <t>RKLB</t>
  </si>
  <si>
    <t>Rocket Lab USA, Inc.</t>
  </si>
  <si>
    <t>RTX</t>
  </si>
  <si>
    <t>Raytheon Technologies Corporation</t>
  </si>
  <si>
    <t>SATL</t>
  </si>
  <si>
    <t>Satellogic Inc.</t>
  </si>
  <si>
    <t>SIDU</t>
  </si>
  <si>
    <t>Sidus Space, Inc.</t>
  </si>
  <si>
    <t>SIF</t>
  </si>
  <si>
    <t>SIFCO Industries, Inc.</t>
  </si>
  <si>
    <t>SKYH</t>
  </si>
  <si>
    <t>Sky Harbour Group Corporation</t>
  </si>
  <si>
    <t>SPCE</t>
  </si>
  <si>
    <t>Virgin Galactic Holdings, Inc.</t>
  </si>
  <si>
    <t>SPR</t>
  </si>
  <si>
    <t>Spirit AeroSystems Holdings, Inc.</t>
  </si>
  <si>
    <t>SWBI</t>
  </si>
  <si>
    <t>Smith &amp; Wesson Brands, Inc.</t>
  </si>
  <si>
    <t>TATT</t>
  </si>
  <si>
    <t>TAT Technologies Ltd.</t>
  </si>
  <si>
    <t>TDG</t>
  </si>
  <si>
    <t>TransDigm Group Incorporated</t>
  </si>
  <si>
    <t>TGI</t>
  </si>
  <si>
    <t>Triumph Group, Inc.</t>
  </si>
  <si>
    <t>TXT</t>
  </si>
  <si>
    <t>Textron Inc.</t>
  </si>
  <si>
    <t>VORB</t>
  </si>
  <si>
    <t>Virgin Orbit Holdings, Inc.</t>
  </si>
  <si>
    <t>VORBW</t>
  </si>
  <si>
    <t>VSEC</t>
  </si>
  <si>
    <t>VSE Corporation</t>
  </si>
  <si>
    <t>VTSI</t>
  </si>
  <si>
    <t>VirTra, Inc.</t>
  </si>
  <si>
    <t>VVX</t>
  </si>
  <si>
    <t>V2X, Inc.</t>
  </si>
  <si>
    <t>WWD</t>
  </si>
  <si>
    <t>Woodward, Inc.</t>
  </si>
  <si>
    <t>Short-term debt</t>
  </si>
  <si>
    <t>Unsecured Debt</t>
  </si>
  <si>
    <t>2026 Notes</t>
  </si>
  <si>
    <t>2030 Notes</t>
  </si>
  <si>
    <t>2059 Notes</t>
  </si>
  <si>
    <t>2060 Notes</t>
  </si>
  <si>
    <t>2043 Notes</t>
  </si>
  <si>
    <t>Financial Leases</t>
  </si>
  <si>
    <t>Other Notes</t>
  </si>
  <si>
    <t>Unbilled receivables, net</t>
  </si>
  <si>
    <t>Current portion of customer financing, net</t>
  </si>
  <si>
    <t>Inventories</t>
  </si>
  <si>
    <t>Other current assets, net</t>
  </si>
  <si>
    <t>Customer financing, net</t>
  </si>
  <si>
    <t>Accrued liabilities</t>
  </si>
  <si>
    <t>Advances and progress billings</t>
  </si>
  <si>
    <t>Accrued retiree health care</t>
  </si>
  <si>
    <t>Accrued pension plan liability, net</t>
  </si>
  <si>
    <t>Other long-term liabilities</t>
  </si>
  <si>
    <t>Treasury stock, at cost</t>
  </si>
  <si>
    <t>Noncontrolling interests</t>
  </si>
  <si>
    <t>Total Shareholder Deficit</t>
  </si>
  <si>
    <t>Other current assets</t>
  </si>
  <si>
    <t>Short Term Debt</t>
  </si>
  <si>
    <t>Unbilled Recievables</t>
  </si>
  <si>
    <t>Share-based plans expense</t>
  </si>
  <si>
    <t>Depreciation and amortization</t>
  </si>
  <si>
    <t>Investment/asset impairment charges, net</t>
  </si>
  <si>
    <t>Customer financing valuation adjustments</t>
  </si>
  <si>
    <t>787 and 777X reach-forward losses</t>
  </si>
  <si>
    <t>Other charges and credits, net</t>
  </si>
  <si>
    <t>Unbilled receivables</t>
  </si>
  <si>
    <t>Income taxes receivable, payable and deferred</t>
  </si>
  <si>
    <t>Pension and other postretirement plans</t>
  </si>
  <si>
    <t>Other</t>
  </si>
  <si>
    <t>Payments to acquire property, plant and equipment</t>
  </si>
  <si>
    <t>Proceeds from disposals of property, plant and equipment</t>
  </si>
  <si>
    <t>Acquisitions, net of cash acquired</t>
  </si>
  <si>
    <t>Contributions to investments</t>
  </si>
  <si>
    <t>Proceeds from investments</t>
  </si>
  <si>
    <t>New borrowings</t>
  </si>
  <si>
    <t>Debt repayments</t>
  </si>
  <si>
    <t>Stock options exercised</t>
  </si>
  <si>
    <t>Employee taxes on certain share-based payment arrangements</t>
  </si>
  <si>
    <t>Dividends paid</t>
  </si>
  <si>
    <t>Proceeds from dispositions</t>
  </si>
  <si>
    <t>Purchase of distribution rights</t>
  </si>
  <si>
    <t>Contributions from noncontrolling interests</t>
  </si>
  <si>
    <t>Common shares repurchased</t>
  </si>
  <si>
    <t>Treasury shares issued for 401(k)</t>
  </si>
  <si>
    <t>Eff Tax Rate (%)</t>
  </si>
  <si>
    <t>Operating Income</t>
  </si>
  <si>
    <t>After tax Operating Income</t>
  </si>
  <si>
    <t>Firm Projects are</t>
  </si>
  <si>
    <t>David L. Calhoun</t>
  </si>
  <si>
    <t>Lawrence W. Kellner</t>
  </si>
  <si>
    <t>CEO &amp; Director</t>
  </si>
  <si>
    <t>Chairman</t>
  </si>
  <si>
    <t>John M. Richardson</t>
  </si>
  <si>
    <t>Ind. Director</t>
  </si>
  <si>
    <t>Akhil Johri</t>
  </si>
  <si>
    <t>Steven M. Mollenkopf</t>
  </si>
  <si>
    <t>Lynne M. Doughtie</t>
  </si>
  <si>
    <t>Brian J. West</t>
  </si>
  <si>
    <t>CFO</t>
  </si>
  <si>
    <t>Todd Citron</t>
  </si>
  <si>
    <t>CTO</t>
  </si>
  <si>
    <t>Christopher D. Raymond</t>
  </si>
  <si>
    <t>CSO</t>
  </si>
  <si>
    <t>Uma Amuluru</t>
  </si>
  <si>
    <t>CCO &amp; VP</t>
  </si>
  <si>
    <t>Ziad S. Ojakli</t>
  </si>
  <si>
    <t>Exec VP</t>
  </si>
  <si>
    <t>Alexa Marrero</t>
  </si>
  <si>
    <t>Interim Head</t>
  </si>
  <si>
    <t>Richard Puckett</t>
  </si>
  <si>
    <t>CISO</t>
  </si>
  <si>
    <t>34 more executives …</t>
  </si>
  <si>
    <t>CEO</t>
  </si>
  <si>
    <t>Precendent - EV/Sales</t>
  </si>
  <si>
    <t>Exp Growth %</t>
  </si>
  <si>
    <t>Trend</t>
  </si>
  <si>
    <t>Cash Return Explained</t>
  </si>
  <si>
    <t>Cost of Capital (WACC)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</si>
</sst>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8">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00\ &quot;€&quot;_-;\-* #,##0.00\ &quot;€&quot;_-;_-* &quot;-&quot;??\ &quot;€&quot;_-;_-@_-"/>
    <numFmt numFmtId="168" formatCode="_-* #,##0.00\ _€_-;\-* #,##0.00\ _€_-;_-* &quot;-&quot;??\ _€_-;_-@_-"/>
    <numFmt numFmtId="169" formatCode="_-* #,##0\ _D_M_-;\-* #,##0\ _D_M_-;_-* &quot;-&quot;\ _D_M_-;_-@_-"/>
    <numFmt numFmtId="170" formatCode="_-* #,##0.00\ &quot;Kc&quot;_-;\-* #,##0.00\ &quot;Kc&quot;_-;_-* &quot;-&quot;??\ &quot;Kc&quot;_-;_-@_-"/>
    <numFmt numFmtId="171" formatCode="\(0\'\)"/>
    <numFmt numFmtId="172" formatCode="0.00_)"/>
    <numFmt numFmtId="173" formatCode="#,##0;\(#,##0\);&quot;-&quot;"/>
    <numFmt numFmtId="174" formatCode="_-* #,##0_-;\-* #,##0_-;_-* &quot;-&quot;_-;_-@_-"/>
    <numFmt numFmtId="175" formatCode="#,##0_);\(#,##0\);&quot; - &quot;_);@_)"/>
    <numFmt numFmtId="176" formatCode="\ #,##0.0_);\(#,##0.0\);&quot; - &quot;_);@_)"/>
    <numFmt numFmtId="177" formatCode="_(* #,##0.00_);_(* \(#,##0.00\);_(* &quot;-&quot;?_);@_)"/>
    <numFmt numFmtId="178" formatCode="0.0"/>
    <numFmt numFmtId="179" formatCode="_ [$₹-4009]\ * #,##0.00_ ;_ [$₹-4009]\ * \-#,##0.00_ ;_ [$₹-4009]\ * &quot;-&quot;??_ ;_ @_ "/>
    <numFmt numFmtId="180" formatCode="[$₹-4009]\ #,##0.00;[$₹-4009]\ \-#,##0.00"/>
    <numFmt numFmtId="181" formatCode="_(* #,##0.000_);_(* \(#,##0.000\);_(* &quot;-&quot;?_);@_)"/>
    <numFmt numFmtId="182" formatCode="0.000"/>
    <numFmt numFmtId="183" formatCode="&quot;$&quot;#,##0.00"/>
    <numFmt numFmtId="184" formatCode="&quot;$&quot;#,##0.0"/>
    <numFmt numFmtId="185" formatCode="0.0000%"/>
    <numFmt numFmtId="186" formatCode="_([$€-2]\ * #,##0.00_);_([$€-2]\ * \(#,##0.00\);_([$€-2]\ * &quot;-&quot;??_);_(@_)"/>
    <numFmt numFmtId="187" formatCode="[$€-2]\ #,##0.00_);\([$€-2]\ #,##0.00\)"/>
    <numFmt numFmtId="188" formatCode="[$₹-4009]\ #,##0.00"/>
    <numFmt numFmtId="189" formatCode="[$€-1809]#,##0.00"/>
    <numFmt numFmtId="190" formatCode="[$€-2]\ #,##0.00"/>
    <numFmt numFmtId="191" formatCode="_(&quot;$&quot;* #,##0.0_);_(&quot;$&quot;* \(#,##0.0\);_(&quot;$&quot;* &quot;-&quot;??_);_(@_)"/>
    <numFmt numFmtId="192" formatCode="_(&quot;$&quot;* #,##0_);_(&quot;$&quot;* \(#,##0\);_(&quot;$&quot;* &quot;-&quot;??_);_(@_)"/>
    <numFmt numFmtId="193" formatCode="[$-409]mmmm\ d\,\ yyyy;@"/>
    <numFmt numFmtId="194" formatCode="yyyy\A"/>
    <numFmt numFmtId="195" formatCode="yyyy\E"/>
    <numFmt numFmtId="196" formatCode="0.000%"/>
    <numFmt numFmtId="197" formatCode="mmm\-yyyy"/>
    <numFmt numFmtId="198" formatCode="_(&quot;$&quot;* #,##0.000_);_(&quot;$&quot;* \(#,##0.000\);_(&quot;$&quot;* &quot;-&quot;??_);_(@_)"/>
  </numFmts>
  <fonts count="99">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i/>
      <sz val="9"/>
      <color theme="0"/>
      <name val="Arial"/>
      <family val="2"/>
    </font>
    <font>
      <b/>
      <i/>
      <sz val="9"/>
      <name val="Arial"/>
      <family val="2"/>
    </font>
    <font>
      <b/>
      <i/>
      <sz val="8"/>
      <color theme="1"/>
      <name val="Arial"/>
      <family val="2"/>
    </font>
    <font>
      <b/>
      <sz val="18"/>
      <color theme="1" tint="4.9989318521683403E-2"/>
      <name val="Arial"/>
      <family val="2"/>
      <charset val="204"/>
    </font>
    <font>
      <i/>
      <sz val="9"/>
      <color theme="1" tint="0.14999847407452621"/>
      <name val="Arial"/>
      <family val="2"/>
    </font>
    <font>
      <sz val="10"/>
      <name val="Catamaran"/>
    </font>
    <font>
      <sz val="10"/>
      <color theme="1" tint="0.14999847407452621"/>
      <name val="Catamaran"/>
    </font>
    <font>
      <b/>
      <sz val="11"/>
      <color theme="1" tint="0.14999847407452621"/>
      <name val="Catamaran SemiBold"/>
    </font>
    <font>
      <sz val="10"/>
      <color theme="1" tint="0.14999847407452621"/>
      <name val="Catamaran SemiBold"/>
    </font>
    <font>
      <sz val="10"/>
      <color theme="1" tint="0.14999847407452621"/>
      <name val="Arial"/>
      <family val="2"/>
    </font>
    <font>
      <b/>
      <sz val="14"/>
      <color theme="1" tint="0.14999847407452621"/>
      <name val="Montserrat"/>
    </font>
    <font>
      <sz val="10"/>
      <color theme="1" tint="0.14999847407452621"/>
      <name val="Montserrat"/>
    </font>
    <font>
      <sz val="14"/>
      <name val="Catamaran SemiBold"/>
    </font>
    <font>
      <i/>
      <sz val="8"/>
      <name val="Arial"/>
      <family val="2"/>
    </font>
    <font>
      <i/>
      <sz val="9"/>
      <name val="Calibri"/>
      <family val="2"/>
      <scheme val="minor"/>
    </font>
    <font>
      <sz val="9"/>
      <name val="Calibri"/>
      <family val="2"/>
      <scheme val="minor"/>
    </font>
    <font>
      <b/>
      <sz val="12"/>
      <color theme="1" tint="4.9989318521683403E-2"/>
      <name val="Arial"/>
      <family val="2"/>
      <charset val="204"/>
    </font>
    <font>
      <i/>
      <sz val="10"/>
      <name val="Arial"/>
      <family val="2"/>
    </font>
    <font>
      <b/>
      <sz val="11"/>
      <color theme="0"/>
      <name val="Catamaran SemiBold"/>
    </font>
    <font>
      <sz val="11"/>
      <color theme="0"/>
      <name val="Catamaran SemiBold"/>
    </font>
    <font>
      <b/>
      <sz val="8"/>
      <name val="Arial"/>
      <family val="2"/>
    </font>
    <font>
      <sz val="9"/>
      <color rgb="FF0432FF"/>
      <name val="Arial"/>
      <family val="2"/>
    </font>
    <font>
      <i/>
      <sz val="9"/>
      <color rgb="FF0432FF"/>
      <name val="Arial"/>
      <family val="2"/>
    </font>
    <font>
      <b/>
      <sz val="9"/>
      <color rgb="FFD9E2F3"/>
      <name val="Arial"/>
      <family val="2"/>
    </font>
    <font>
      <sz val="9"/>
      <color rgb="FF002060"/>
      <name val="Arial"/>
      <family val="2"/>
    </font>
    <font>
      <sz val="9"/>
      <color indexed="81"/>
      <name val="Tahoma"/>
      <charset val="1"/>
    </font>
    <font>
      <b/>
      <sz val="9"/>
      <color indexed="81"/>
      <name val="Tahoma"/>
      <charset val="1"/>
    </font>
    <font>
      <sz val="9"/>
      <color rgb="FFFF0000"/>
      <name val="Arial"/>
      <family val="2"/>
    </font>
  </fonts>
  <fills count="50">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rgb="FFF8F8F8"/>
        <bgColor indexed="64"/>
      </patternFill>
    </fill>
    <fill>
      <patternFill patternType="solid">
        <fgColor theme="2"/>
        <bgColor indexed="64"/>
      </patternFill>
    </fill>
    <fill>
      <patternFill patternType="solid">
        <fgColor rgb="FFF9D1B9"/>
        <bgColor indexed="64"/>
      </patternFill>
    </fill>
    <fill>
      <patternFill patternType="solid">
        <fgColor rgb="FFD9E2F3"/>
        <bgColor indexed="64"/>
      </patternFill>
    </fill>
    <fill>
      <patternFill patternType="solid">
        <fgColor rgb="FF0039A6"/>
        <bgColor indexed="64"/>
      </patternFill>
    </fill>
  </fills>
  <borders count="35">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bottom/>
      <diagonal/>
    </border>
    <border>
      <left style="thin">
        <color indexed="64"/>
      </left>
      <right/>
      <top style="thin">
        <color indexed="64"/>
      </top>
      <bottom/>
      <diagonal/>
    </border>
  </borders>
  <cellStyleXfs count="171">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7"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0" fontId="26" fillId="0" borderId="0" applyFont="0" applyFill="0" applyBorder="0" applyAlignment="0" applyProtection="0"/>
    <xf numFmtId="169"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1" fontId="9" fillId="0" borderId="0" applyFont="0" applyFill="0" applyBorder="0" applyAlignment="0" applyProtection="0"/>
    <xf numFmtId="0" fontId="28" fillId="25" borderId="0" applyNumberFormat="0" applyBorder="0" applyAlignment="0" applyProtection="0"/>
    <xf numFmtId="172"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3" fontId="47" fillId="0" borderId="0"/>
    <xf numFmtId="173" fontId="9" fillId="0" borderId="0"/>
    <xf numFmtId="173" fontId="49" fillId="0" borderId="0"/>
    <xf numFmtId="0" fontId="50" fillId="0" borderId="0">
      <alignment horizontal="left"/>
    </xf>
    <xf numFmtId="174" fontId="48" fillId="0" borderId="16" applyFill="0" applyBorder="0" applyProtection="0">
      <alignment horizontal="right" vertical="top"/>
    </xf>
    <xf numFmtId="173" fontId="51" fillId="0" borderId="16">
      <alignment horizontal="left"/>
    </xf>
    <xf numFmtId="0" fontId="50" fillId="0" borderId="16">
      <alignment horizontal="right" wrapText="1"/>
    </xf>
    <xf numFmtId="0" fontId="48" fillId="0" borderId="0" applyFill="0" applyBorder="0">
      <alignment horizontal="left" vertical="top" wrapText="1"/>
    </xf>
    <xf numFmtId="175" fontId="48" fillId="0" borderId="0" applyFill="0" applyBorder="0">
      <alignment horizontal="right" vertical="top"/>
    </xf>
    <xf numFmtId="176" fontId="48" fillId="0" borderId="0" applyFill="0" applyBorder="0">
      <alignment horizontal="right" vertical="top"/>
    </xf>
    <xf numFmtId="49" fontId="48" fillId="0" borderId="0" applyNumberFormat="0" applyFill="0" applyBorder="0" applyProtection="0">
      <alignment horizontal="center" vertical="top"/>
    </xf>
    <xf numFmtId="173" fontId="52" fillId="0" borderId="0">
      <alignment horizontal="left" vertical="top"/>
    </xf>
    <xf numFmtId="0" fontId="53" fillId="0" borderId="0"/>
    <xf numFmtId="0" fontId="5" fillId="0" borderId="0"/>
    <xf numFmtId="0" fontId="54" fillId="0" borderId="0"/>
    <xf numFmtId="0" fontId="5" fillId="0" borderId="0"/>
    <xf numFmtId="168"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0" fillId="0" borderId="0" applyNumberFormat="0" applyFill="0" applyBorder="0" applyAlignment="0" applyProtection="0"/>
    <xf numFmtId="44" fontId="9" fillId="0" borderId="0" applyFont="0" applyFill="0" applyBorder="0" applyAlignment="0" applyProtection="0"/>
    <xf numFmtId="0" fontId="68" fillId="0" borderId="0">
      <alignment vertical="top"/>
    </xf>
    <xf numFmtId="43" fontId="69" fillId="0" borderId="0">
      <alignment vertical="top"/>
    </xf>
    <xf numFmtId="44" fontId="5" fillId="0" borderId="0" applyFont="0" applyFill="0" applyBorder="0" applyAlignment="0" applyProtection="0"/>
    <xf numFmtId="0" fontId="9" fillId="0" borderId="0">
      <alignment vertical="top"/>
    </xf>
  </cellStyleXfs>
  <cellXfs count="626">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7" fontId="1" fillId="2" borderId="0" xfId="0" applyNumberFormat="1" applyFont="1" applyFill="1"/>
    <xf numFmtId="0" fontId="59" fillId="2" borderId="0" xfId="0" applyFont="1" applyFill="1"/>
    <xf numFmtId="2" fontId="1" fillId="2" borderId="0" xfId="0" applyNumberFormat="1" applyFont="1" applyFill="1"/>
    <xf numFmtId="177"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2" fillId="2" borderId="0" xfId="0" applyNumberFormat="1" applyFont="1" applyFill="1"/>
    <xf numFmtId="10" fontId="6" fillId="2"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59" fillId="2" borderId="0" xfId="0" applyNumberFormat="1" applyFont="1" applyFill="1" applyBorder="1"/>
    <xf numFmtId="164" fontId="59" fillId="2" borderId="0" xfId="0" applyNumberFormat="1" applyFont="1" applyFill="1" applyBorder="1" applyAlignment="1">
      <alignment horizontal="right"/>
    </xf>
    <xf numFmtId="164" fontId="40" fillId="2" borderId="0" xfId="0" applyNumberFormat="1" applyFont="1" applyFill="1" applyBorder="1"/>
    <xf numFmtId="164" fontId="59" fillId="2" borderId="0" xfId="0" applyNumberFormat="1" applyFont="1" applyFill="1" applyBorder="1" applyAlignment="1">
      <alignment horizontal="left" vertical="center"/>
    </xf>
    <xf numFmtId="0" fontId="66" fillId="2" borderId="0" xfId="0" applyFont="1" applyFill="1"/>
    <xf numFmtId="0" fontId="61" fillId="2" borderId="0" xfId="0" applyFont="1" applyFill="1"/>
    <xf numFmtId="0" fontId="40" fillId="2" borderId="0" xfId="0" applyFont="1" applyFill="1"/>
    <xf numFmtId="0" fontId="10" fillId="2" borderId="0" xfId="0" applyFont="1" applyFill="1" applyAlignment="1">
      <alignment horizontal="left"/>
    </xf>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3"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64" fillId="2" borderId="0" xfId="0" applyNumberFormat="1" applyFont="1" applyFill="1" applyBorder="1"/>
    <xf numFmtId="10" fontId="8" fillId="2" borderId="0" xfId="2" applyNumberFormat="1" applyFont="1" applyFill="1" applyBorder="1"/>
    <xf numFmtId="0" fontId="68" fillId="2" borderId="0" xfId="167" applyFill="1">
      <alignment vertical="top"/>
    </xf>
    <xf numFmtId="0" fontId="70" fillId="2" borderId="0" xfId="167" applyFont="1" applyFill="1">
      <alignment vertical="top"/>
    </xf>
    <xf numFmtId="0" fontId="68" fillId="0" borderId="0" xfId="167">
      <alignment vertical="top"/>
    </xf>
    <xf numFmtId="0" fontId="67"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0" fontId="40" fillId="2" borderId="0" xfId="2" applyNumberFormat="1" applyFont="1" applyFill="1" applyBorder="1"/>
    <xf numFmtId="10" fontId="2" fillId="2" borderId="0" xfId="2" applyNumberFormat="1" applyFont="1" applyFill="1" applyBorder="1"/>
    <xf numFmtId="0" fontId="63" fillId="2" borderId="0" xfId="2" applyNumberFormat="1" applyFont="1" applyFill="1" applyBorder="1"/>
    <xf numFmtId="164" fontId="65" fillId="2" borderId="0" xfId="165" applyNumberFormat="1" applyFont="1" applyFill="1" applyBorder="1"/>
    <xf numFmtId="180"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3" fillId="2" borderId="0" xfId="165" applyNumberFormat="1" applyFont="1" applyFill="1" applyBorder="1"/>
    <xf numFmtId="177"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164" fontId="8" fillId="2" borderId="0" xfId="0" applyNumberFormat="1" applyFont="1" applyFill="1" applyBorder="1" applyAlignment="1">
      <alignment horizontal="right" vertical="center"/>
    </xf>
    <xf numFmtId="180" fontId="1" fillId="2" borderId="0" xfId="0" applyNumberFormat="1" applyFont="1" applyFill="1" applyBorder="1" applyAlignment="1">
      <alignment horizontal="right" vertical="center"/>
    </xf>
    <xf numFmtId="10" fontId="63"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0" fontId="1" fillId="2" borderId="0" xfId="0" applyNumberFormat="1" applyFont="1" applyFill="1" applyBorder="1" applyAlignment="1">
      <alignment horizontal="right"/>
    </xf>
    <xf numFmtId="178" fontId="1" fillId="2" borderId="0" xfId="2" applyNumberFormat="1" applyFont="1" applyFill="1" applyBorder="1"/>
    <xf numFmtId="181" fontId="1" fillId="2" borderId="0" xfId="0" applyNumberFormat="1" applyFont="1" applyFill="1" applyBorder="1"/>
    <xf numFmtId="10" fontId="1" fillId="2" borderId="0" xfId="0" applyNumberFormat="1" applyFont="1" applyFill="1" applyBorder="1"/>
    <xf numFmtId="177" fontId="8" fillId="2" borderId="0" xfId="0" applyNumberFormat="1" applyFont="1" applyFill="1" applyBorder="1" applyAlignment="1">
      <alignment horizontal="right"/>
    </xf>
    <xf numFmtId="2" fontId="63" fillId="2" borderId="18" xfId="2" applyNumberFormat="1" applyFont="1" applyFill="1" applyBorder="1" applyAlignment="1">
      <alignment horizontal="right"/>
    </xf>
    <xf numFmtId="164" fontId="8" fillId="2" borderId="0" xfId="0" applyNumberFormat="1" applyFont="1" applyFill="1" applyBorder="1" applyAlignment="1"/>
    <xf numFmtId="164" fontId="63" fillId="2" borderId="0" xfId="0" applyNumberFormat="1" applyFont="1" applyFill="1" applyBorder="1" applyAlignment="1"/>
    <xf numFmtId="0" fontId="61"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3" fillId="2" borderId="0" xfId="0" applyFont="1" applyFill="1" applyBorder="1"/>
    <xf numFmtId="0" fontId="64"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8" fontId="63" fillId="2" borderId="0" xfId="0" applyNumberFormat="1" applyFont="1" applyFill="1" applyBorder="1"/>
    <xf numFmtId="178" fontId="1" fillId="2" borderId="0" xfId="0" applyNumberFormat="1" applyFont="1" applyFill="1" applyBorder="1"/>
    <xf numFmtId="0" fontId="63" fillId="2" borderId="0" xfId="0" applyFont="1" applyFill="1" applyBorder="1" applyAlignment="1">
      <alignment horizontal="right"/>
    </xf>
    <xf numFmtId="179" fontId="2" fillId="2" borderId="0" xfId="0" applyNumberFormat="1" applyFont="1" applyFill="1" applyBorder="1"/>
    <xf numFmtId="179" fontId="63" fillId="2" borderId="0" xfId="0" applyNumberFormat="1" applyFont="1" applyFill="1" applyBorder="1"/>
    <xf numFmtId="10" fontId="63" fillId="2" borderId="0" xfId="2" applyNumberFormat="1" applyFont="1" applyFill="1" applyBorder="1"/>
    <xf numFmtId="10" fontId="64" fillId="2" borderId="0" xfId="0" applyNumberFormat="1" applyFont="1" applyFill="1" applyBorder="1"/>
    <xf numFmtId="0" fontId="64"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79" fontId="1" fillId="2" borderId="0" xfId="0" applyNumberFormat="1" applyFont="1" applyFill="1" applyBorder="1"/>
    <xf numFmtId="2" fontId="63" fillId="2" borderId="0" xfId="0" applyNumberFormat="1" applyFont="1" applyFill="1" applyBorder="1"/>
    <xf numFmtId="2" fontId="63" fillId="2" borderId="0" xfId="2" applyNumberFormat="1" applyFont="1" applyFill="1" applyBorder="1" applyAlignment="1">
      <alignment horizontal="right"/>
    </xf>
    <xf numFmtId="177" fontId="63" fillId="2" borderId="0" xfId="0" applyNumberFormat="1" applyFont="1" applyFill="1" applyBorder="1"/>
    <xf numFmtId="2" fontId="63" fillId="2" borderId="0" xfId="2" applyNumberFormat="1" applyFont="1" applyFill="1" applyBorder="1" applyAlignment="1"/>
    <xf numFmtId="0" fontId="63" fillId="45" borderId="0" xfId="0" applyFont="1" applyFill="1" applyBorder="1"/>
    <xf numFmtId="10" fontId="40" fillId="2" borderId="0" xfId="2" applyNumberFormat="1" applyFont="1" applyFill="1" applyBorder="1" applyAlignment="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79" fontId="8" fillId="2" borderId="0" xfId="0" applyNumberFormat="1" applyFont="1" applyFill="1" applyBorder="1"/>
    <xf numFmtId="0" fontId="63" fillId="2" borderId="0" xfId="0" applyNumberFormat="1" applyFont="1" applyFill="1" applyBorder="1"/>
    <xf numFmtId="177" fontId="2" fillId="2" borderId="0" xfId="0" applyNumberFormat="1" applyFont="1" applyFill="1" applyBorder="1"/>
    <xf numFmtId="10" fontId="2" fillId="2" borderId="18" xfId="2" applyNumberFormat="1" applyFont="1" applyFill="1" applyBorder="1"/>
    <xf numFmtId="0" fontId="2" fillId="2" borderId="18" xfId="0"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8" fontId="40" fillId="2" borderId="0" xfId="2" applyNumberFormat="1" applyFont="1" applyFill="1" applyBorder="1" applyAlignment="1">
      <alignment horizontal="right"/>
    </xf>
    <xf numFmtId="2" fontId="1" fillId="2" borderId="0" xfId="0" applyNumberFormat="1" applyFont="1" applyFill="1" applyBorder="1"/>
    <xf numFmtId="2" fontId="1" fillId="2" borderId="0" xfId="0" applyNumberFormat="1" applyFont="1" applyFill="1" applyBorder="1" applyAlignment="1">
      <alignment horizontal="right"/>
    </xf>
    <xf numFmtId="9" fontId="59" fillId="2" borderId="0" xfId="2" applyFont="1" applyFill="1" applyBorder="1"/>
    <xf numFmtId="164" fontId="1" fillId="2" borderId="0" xfId="0" applyNumberFormat="1" applyFont="1" applyFill="1" applyBorder="1" applyAlignment="1">
      <alignment horizontal="left"/>
    </xf>
    <xf numFmtId="164" fontId="1" fillId="2" borderId="0" xfId="0" applyNumberFormat="1" applyFont="1" applyFill="1" applyAlignment="1">
      <alignment horizontal="right"/>
    </xf>
    <xf numFmtId="179" fontId="8" fillId="2" borderId="0" xfId="0" applyNumberFormat="1" applyFont="1" applyFill="1" applyBorder="1" applyAlignment="1">
      <alignment horizontal="left" vertical="center"/>
    </xf>
    <xf numFmtId="179" fontId="2" fillId="2" borderId="0" xfId="0" applyNumberFormat="1" applyFont="1" applyFill="1" applyBorder="1" applyAlignment="1">
      <alignment horizontal="left" vertical="center"/>
    </xf>
    <xf numFmtId="164" fontId="65" fillId="2" borderId="0" xfId="0" applyNumberFormat="1" applyFont="1" applyFill="1" applyBorder="1" applyAlignment="1"/>
    <xf numFmtId="166" fontId="65" fillId="2" borderId="0" xfId="2" applyNumberFormat="1" applyFont="1" applyFill="1" applyBorder="1" applyAlignment="1"/>
    <xf numFmtId="0" fontId="1" fillId="2" borderId="0" xfId="2" applyNumberFormat="1" applyFont="1" applyFill="1"/>
    <xf numFmtId="2" fontId="63" fillId="2" borderId="0" xfId="0" applyNumberFormat="1" applyFont="1" applyFill="1" applyBorder="1" applyAlignment="1">
      <alignment horizontal="right"/>
    </xf>
    <xf numFmtId="180" fontId="40" fillId="2" borderId="0" xfId="0" applyNumberFormat="1" applyFont="1" applyFill="1" applyBorder="1" applyAlignment="1">
      <alignment horizontal="right"/>
    </xf>
    <xf numFmtId="10" fontId="63" fillId="2" borderId="18" xfId="2" applyNumberFormat="1" applyFont="1" applyFill="1" applyBorder="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9" fontId="6" fillId="2" borderId="0" xfId="2" applyFont="1" applyFill="1" applyBorder="1"/>
    <xf numFmtId="164" fontId="1" fillId="2" borderId="0" xfId="0" applyNumberFormat="1" applyFont="1" applyFill="1" applyAlignment="1">
      <alignment wrapText="1"/>
    </xf>
    <xf numFmtId="0" fontId="40" fillId="2" borderId="0" xfId="0" applyFont="1" applyFill="1" applyBorder="1" applyAlignment="1"/>
    <xf numFmtId="179" fontId="63" fillId="2" borderId="0" xfId="0" applyNumberFormat="1" applyFont="1" applyFill="1" applyBorder="1" applyAlignment="1">
      <alignment horizontal="right"/>
    </xf>
    <xf numFmtId="164" fontId="7" fillId="2" borderId="0" xfId="0" applyNumberFormat="1" applyFont="1" applyFill="1" applyAlignment="1">
      <alignment horizontal="right"/>
    </xf>
    <xf numFmtId="2" fontId="71" fillId="2" borderId="0" xfId="2" applyNumberFormat="1" applyFont="1" applyFill="1" applyBorder="1" applyAlignment="1">
      <alignment horizontal="right"/>
    </xf>
    <xf numFmtId="177" fontId="7" fillId="2" borderId="0" xfId="0" applyNumberFormat="1" applyFont="1" applyFill="1"/>
    <xf numFmtId="177" fontId="71" fillId="2" borderId="0" xfId="2" applyNumberFormat="1" applyFont="1" applyFill="1" applyBorder="1" applyAlignment="1">
      <alignment horizontal="right"/>
    </xf>
    <xf numFmtId="2" fontId="63" fillId="2" borderId="0" xfId="0" applyNumberFormat="1" applyFont="1" applyFill="1" applyAlignment="1">
      <alignment horizontal="right"/>
    </xf>
    <xf numFmtId="2" fontId="1" fillId="2" borderId="0" xfId="2" applyNumberFormat="1" applyFont="1" applyFill="1" applyBorder="1" applyAlignment="1">
      <alignment horizontal="right"/>
    </xf>
    <xf numFmtId="164" fontId="40" fillId="2" borderId="0" xfId="0" applyNumberFormat="1" applyFont="1" applyFill="1" applyBorder="1" applyAlignment="1"/>
    <xf numFmtId="3" fontId="63" fillId="2" borderId="0" xfId="0" applyNumberFormat="1" applyFont="1" applyFill="1" applyBorder="1"/>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0" fontId="63" fillId="2" borderId="0" xfId="0" applyNumberFormat="1" applyFont="1" applyFill="1" applyBorder="1" applyAlignment="1">
      <alignment horizontal="right" vertical="center"/>
    </xf>
    <xf numFmtId="164" fontId="63" fillId="2" borderId="0" xfId="0" applyNumberFormat="1" applyFont="1" applyFill="1" applyBorder="1" applyAlignment="1">
      <alignment horizontal="right"/>
    </xf>
    <xf numFmtId="183" fontId="1" fillId="2" borderId="0" xfId="169" applyNumberFormat="1" applyFont="1" applyFill="1" applyBorder="1"/>
    <xf numFmtId="3" fontId="1" fillId="2" borderId="0" xfId="0" applyNumberFormat="1" applyFont="1" applyFill="1" applyBorder="1" applyAlignment="1">
      <alignment horizontal="right" vertical="center"/>
    </xf>
    <xf numFmtId="44" fontId="8" fillId="2" borderId="0" xfId="169" applyFont="1" applyFill="1" applyBorder="1" applyAlignment="1">
      <alignment horizontal="left" vertical="center"/>
    </xf>
    <xf numFmtId="164" fontId="65" fillId="2" borderId="0" xfId="0" applyNumberFormat="1" applyFont="1" applyFill="1" applyBorder="1" applyAlignment="1">
      <alignment horizontal="left"/>
    </xf>
    <xf numFmtId="44" fontId="2" fillId="2" borderId="0" xfId="169" applyFont="1" applyFill="1"/>
    <xf numFmtId="183" fontId="40" fillId="2" borderId="0" xfId="169" applyNumberFormat="1" applyFont="1" applyFill="1" applyBorder="1"/>
    <xf numFmtId="165" fontId="40" fillId="2" borderId="0" xfId="0" applyNumberFormat="1" applyFont="1" applyFill="1" applyBorder="1"/>
    <xf numFmtId="183" fontId="2" fillId="2" borderId="0" xfId="169" applyNumberFormat="1" applyFont="1" applyFill="1" applyBorder="1"/>
    <xf numFmtId="44" fontId="2" fillId="2" borderId="0" xfId="169" applyNumberFormat="1" applyFont="1" applyFill="1" applyBorder="1" applyAlignment="1">
      <alignment horizontal="right" vertical="center"/>
    </xf>
    <xf numFmtId="164" fontId="63" fillId="2" borderId="0" xfId="0" applyNumberFormat="1" applyFont="1" applyFill="1" applyAlignment="1">
      <alignment horizontal="right"/>
    </xf>
    <xf numFmtId="182" fontId="63"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2" fontId="63" fillId="2" borderId="0" xfId="0" applyNumberFormat="1" applyFont="1" applyFill="1" applyBorder="1" applyAlignment="1">
      <alignment horizontal="right"/>
    </xf>
    <xf numFmtId="164" fontId="1" fillId="2" borderId="0" xfId="0" applyNumberFormat="1" applyFont="1" applyFill="1" applyBorder="1" applyAlignment="1">
      <alignment wrapText="1"/>
    </xf>
    <xf numFmtId="10" fontId="1" fillId="2" borderId="0" xfId="2" applyNumberFormat="1" applyFont="1" applyFill="1" applyBorder="1" applyAlignment="1">
      <alignment horizontal="right" vertical="center"/>
    </xf>
    <xf numFmtId="177" fontId="2" fillId="2" borderId="20" xfId="0" applyNumberFormat="1" applyFont="1" applyFill="1" applyBorder="1"/>
    <xf numFmtId="3" fontId="8" fillId="2" borderId="0" xfId="0" applyNumberFormat="1" applyFont="1" applyFill="1" applyBorder="1" applyAlignment="1"/>
    <xf numFmtId="3" fontId="2" fillId="2" borderId="0" xfId="0" applyNumberFormat="1" applyFont="1" applyFill="1" applyBorder="1" applyAlignment="1">
      <alignment horizontal="right"/>
    </xf>
    <xf numFmtId="177" fontId="40" fillId="2" borderId="0" xfId="0" applyNumberFormat="1" applyFont="1" applyFill="1" applyBorder="1"/>
    <xf numFmtId="10" fontId="72" fillId="2" borderId="0" xfId="169" applyNumberFormat="1" applyFont="1" applyFill="1" applyBorder="1"/>
    <xf numFmtId="178" fontId="63" fillId="2" borderId="0" xfId="2" applyNumberFormat="1" applyFont="1" applyFill="1" applyBorder="1" applyAlignment="1">
      <alignment horizontal="right"/>
    </xf>
    <xf numFmtId="178" fontId="63" fillId="2" borderId="0" xfId="0" applyNumberFormat="1" applyFont="1" applyFill="1" applyBorder="1" applyAlignment="1">
      <alignment horizontal="right"/>
    </xf>
    <xf numFmtId="0" fontId="8" fillId="2" borderId="0" xfId="0" applyFont="1" applyFill="1" applyBorder="1"/>
    <xf numFmtId="10" fontId="73" fillId="2" borderId="0" xfId="2" applyNumberFormat="1" applyFont="1" applyFill="1" applyBorder="1"/>
    <xf numFmtId="0" fontId="8" fillId="2" borderId="0" xfId="0" applyFont="1" applyFill="1" applyBorder="1" applyAlignment="1">
      <alignment vertical="center"/>
    </xf>
    <xf numFmtId="44" fontId="1" fillId="2" borderId="0" xfId="0" applyNumberFormat="1" applyFont="1" applyFill="1" applyBorder="1"/>
    <xf numFmtId="178" fontId="63" fillId="2" borderId="0" xfId="2" applyNumberFormat="1" applyFont="1" applyFill="1" applyBorder="1" applyAlignment="1"/>
    <xf numFmtId="10" fontId="65" fillId="2" borderId="0" xfId="2" applyNumberFormat="1" applyFont="1" applyFill="1" applyBorder="1" applyAlignment="1">
      <alignment horizontal="right" wrapText="1"/>
    </xf>
    <xf numFmtId="2" fontId="65" fillId="2" borderId="0" xfId="2" applyNumberFormat="1" applyFont="1" applyFill="1" applyBorder="1" applyAlignment="1">
      <alignment horizontal="right" wrapText="1"/>
    </xf>
    <xf numFmtId="10" fontId="63" fillId="2" borderId="0" xfId="2" applyNumberFormat="1" applyFont="1" applyFill="1" applyBorder="1" applyAlignment="1">
      <alignment horizontal="right" wrapText="1"/>
    </xf>
    <xf numFmtId="2" fontId="63" fillId="2" borderId="0" xfId="2" applyNumberFormat="1" applyFont="1" applyFill="1" applyBorder="1" applyAlignment="1">
      <alignment horizontal="right" wrapText="1"/>
    </xf>
    <xf numFmtId="9" fontId="63" fillId="2" borderId="0" xfId="2" applyNumberFormat="1" applyFont="1" applyFill="1" applyBorder="1" applyAlignment="1">
      <alignment horizontal="right"/>
    </xf>
    <xf numFmtId="2" fontId="8" fillId="2" borderId="0" xfId="169" applyNumberFormat="1" applyFont="1" applyFill="1" applyBorder="1" applyAlignment="1">
      <alignment horizontal="right"/>
    </xf>
    <xf numFmtId="10" fontId="8" fillId="2" borderId="0" xfId="2" applyNumberFormat="1" applyFont="1" applyFill="1" applyBorder="1" applyAlignment="1">
      <alignment horizontal="right"/>
    </xf>
    <xf numFmtId="183" fontId="1" fillId="2" borderId="0" xfId="169" applyNumberFormat="1" applyFont="1" applyFill="1" applyBorder="1" applyAlignment="1">
      <alignment horizontal="right"/>
    </xf>
    <xf numFmtId="2" fontId="1" fillId="2" borderId="0" xfId="169" applyNumberFormat="1" applyFont="1" applyFill="1" applyBorder="1" applyAlignment="1">
      <alignment horizontal="right"/>
    </xf>
    <xf numFmtId="0" fontId="74" fillId="2" borderId="0" xfId="167" applyFont="1" applyFill="1">
      <alignment vertical="top"/>
    </xf>
    <xf numFmtId="0" fontId="75" fillId="2" borderId="0" xfId="167" applyFont="1" applyFill="1">
      <alignment vertical="top"/>
    </xf>
    <xf numFmtId="0" fontId="79" fillId="2" borderId="0" xfId="167" applyFont="1" applyFill="1">
      <alignment vertical="top"/>
    </xf>
    <xf numFmtId="0" fontId="80" fillId="2" borderId="0" xfId="167" applyFont="1" applyFill="1">
      <alignment vertical="top"/>
    </xf>
    <xf numFmtId="0" fontId="82" fillId="2" borderId="0" xfId="167" applyFont="1" applyFill="1">
      <alignment vertical="top"/>
    </xf>
    <xf numFmtId="0" fontId="76" fillId="2" borderId="0" xfId="167" applyFont="1" applyFill="1" applyAlignment="1">
      <alignment horizontal="left" vertical="top"/>
    </xf>
    <xf numFmtId="0" fontId="77" fillId="2" borderId="0" xfId="167" applyFont="1" applyFill="1" applyAlignment="1">
      <alignment horizontal="left" vertical="top"/>
    </xf>
    <xf numFmtId="0" fontId="0" fillId="2" borderId="0" xfId="0" applyFill="1"/>
    <xf numFmtId="0" fontId="78" fillId="2" borderId="0" xfId="167" applyFont="1" applyFill="1" applyAlignment="1">
      <alignment vertical="top"/>
    </xf>
    <xf numFmtId="183" fontId="81" fillId="2" borderId="0" xfId="167" applyNumberFormat="1" applyFont="1" applyFill="1" applyAlignment="1">
      <alignment vertical="center"/>
    </xf>
    <xf numFmtId="0" fontId="83" fillId="2" borderId="0" xfId="167" applyFont="1" applyFill="1" applyAlignment="1">
      <alignment vertical="center"/>
    </xf>
    <xf numFmtId="2" fontId="63" fillId="45" borderId="0" xfId="2" applyNumberFormat="1" applyFont="1" applyFill="1" applyBorder="1"/>
    <xf numFmtId="184" fontId="81" fillId="2" borderId="0" xfId="167" applyNumberFormat="1" applyFont="1" applyFill="1" applyAlignment="1">
      <alignment vertical="center"/>
    </xf>
    <xf numFmtId="9" fontId="65" fillId="2" borderId="0" xfId="2" applyFont="1" applyFill="1" applyBorder="1"/>
    <xf numFmtId="177" fontId="40" fillId="2" borderId="0" xfId="0" applyNumberFormat="1" applyFont="1" applyFill="1" applyBorder="1" applyAlignment="1"/>
    <xf numFmtId="164" fontId="40" fillId="2" borderId="0" xfId="0" applyNumberFormat="1" applyFont="1" applyFill="1" applyBorder="1" applyAlignment="1">
      <alignment horizontal="right"/>
    </xf>
    <xf numFmtId="44" fontId="40" fillId="2" borderId="0" xfId="169" applyFont="1" applyFill="1" applyBorder="1" applyAlignment="1"/>
    <xf numFmtId="44" fontId="2" fillId="2" borderId="0" xfId="169" applyFont="1" applyFill="1" applyBorder="1" applyAlignment="1">
      <alignment horizontal="right"/>
    </xf>
    <xf numFmtId="164" fontId="2" fillId="2" borderId="0" xfId="0" applyNumberFormat="1" applyFont="1" applyFill="1" applyAlignment="1">
      <alignment horizontal="right"/>
    </xf>
    <xf numFmtId="164" fontId="84" fillId="2" borderId="0" xfId="0" applyNumberFormat="1" applyFont="1" applyFill="1" applyBorder="1" applyAlignment="1">
      <alignment horizontal="left"/>
    </xf>
    <xf numFmtId="164" fontId="6" fillId="2" borderId="0" xfId="0" applyNumberFormat="1" applyFont="1" applyFill="1"/>
    <xf numFmtId="0" fontId="85" fillId="0" borderId="25" xfId="0" applyFont="1" applyBorder="1" applyAlignment="1">
      <alignment horizontal="left"/>
    </xf>
    <xf numFmtId="0" fontId="85" fillId="0" borderId="22" xfId="0" applyFont="1" applyBorder="1" applyAlignment="1">
      <alignment horizontal="center"/>
    </xf>
    <xf numFmtId="0" fontId="86" fillId="0" borderId="9" xfId="0" applyFont="1" applyBorder="1" applyAlignment="1">
      <alignment horizontal="center"/>
    </xf>
    <xf numFmtId="0" fontId="86" fillId="0" borderId="22" xfId="0" applyFont="1" applyBorder="1" applyAlignment="1">
      <alignment horizontal="center"/>
    </xf>
    <xf numFmtId="10" fontId="86" fillId="0" borderId="24" xfId="2" applyNumberFormat="1" applyFont="1" applyBorder="1" applyAlignment="1">
      <alignment horizontal="center"/>
    </xf>
    <xf numFmtId="0" fontId="86" fillId="0" borderId="23" xfId="0" applyFont="1" applyBorder="1" applyAlignment="1">
      <alignment horizontal="center"/>
    </xf>
    <xf numFmtId="9" fontId="40" fillId="2" borderId="0" xfId="2" applyFont="1" applyFill="1" applyBorder="1"/>
    <xf numFmtId="10" fontId="72" fillId="2" borderId="0" xfId="169" applyNumberFormat="1" applyFont="1" applyFill="1" applyBorder="1" applyAlignment="1">
      <alignment horizontal="right"/>
    </xf>
    <xf numFmtId="10" fontId="72" fillId="2" borderId="0" xfId="2" applyNumberFormat="1" applyFont="1" applyFill="1" applyBorder="1" applyAlignment="1">
      <alignment horizontal="right"/>
    </xf>
    <xf numFmtId="185" fontId="1" fillId="2" borderId="0" xfId="2" applyNumberFormat="1" applyFont="1" applyFill="1" applyBorder="1"/>
    <xf numFmtId="164" fontId="8" fillId="2" borderId="0" xfId="0" applyNumberFormat="1" applyFont="1" applyFill="1" applyAlignment="1">
      <alignment horizontal="right"/>
    </xf>
    <xf numFmtId="9" fontId="8" fillId="2" borderId="0" xfId="2" applyFont="1" applyFill="1" applyBorder="1" applyAlignment="1">
      <alignment horizontal="right"/>
    </xf>
    <xf numFmtId="9" fontId="8" fillId="2" borderId="0" xfId="2" applyFont="1" applyFill="1" applyBorder="1" applyAlignment="1">
      <alignment horizontal="center"/>
    </xf>
    <xf numFmtId="9" fontId="40" fillId="2" borderId="0" xfId="2" applyFont="1" applyFill="1" applyBorder="1" applyAlignment="1"/>
    <xf numFmtId="44" fontId="72" fillId="2" borderId="0" xfId="169" applyFont="1" applyFill="1" applyBorder="1" applyAlignment="1">
      <alignment horizontal="center"/>
    </xf>
    <xf numFmtId="185" fontId="72" fillId="2" borderId="0" xfId="2" applyNumberFormat="1" applyFont="1" applyFill="1" applyBorder="1" applyAlignment="1">
      <alignment horizontal="right"/>
    </xf>
    <xf numFmtId="10" fontId="63" fillId="2" borderId="0" xfId="169" applyNumberFormat="1" applyFont="1" applyFill="1"/>
    <xf numFmtId="9" fontId="65" fillId="2" borderId="0" xfId="2" quotePrefix="1" applyFont="1" applyFill="1" applyBorder="1"/>
    <xf numFmtId="10" fontId="65" fillId="2" borderId="0" xfId="2" applyNumberFormat="1" applyFont="1" applyFill="1" applyBorder="1"/>
    <xf numFmtId="0" fontId="63" fillId="2" borderId="0" xfId="0" applyFont="1" applyFill="1" applyBorder="1" applyAlignment="1">
      <alignment horizontal="center"/>
    </xf>
    <xf numFmtId="3" fontId="1" fillId="2" borderId="0" xfId="0" applyNumberFormat="1" applyFont="1" applyFill="1"/>
    <xf numFmtId="0" fontId="8" fillId="2" borderId="0" xfId="0" applyFont="1" applyFill="1" applyBorder="1" applyAlignment="1">
      <alignment horizontal="right"/>
    </xf>
    <xf numFmtId="188" fontId="1" fillId="2" borderId="0" xfId="0" applyNumberFormat="1" applyFont="1" applyFill="1" applyBorder="1"/>
    <xf numFmtId="2" fontId="63" fillId="2" borderId="0" xfId="0" applyNumberFormat="1" applyFont="1" applyFill="1"/>
    <xf numFmtId="0" fontId="2" fillId="2" borderId="0" xfId="0" applyNumberFormat="1" applyFont="1" applyFill="1" applyBorder="1" applyAlignment="1">
      <alignment horizontal="right" vertical="center"/>
    </xf>
    <xf numFmtId="9" fontId="63" fillId="45" borderId="0" xfId="2" applyNumberFormat="1" applyFont="1" applyFill="1" applyBorder="1"/>
    <xf numFmtId="164" fontId="64" fillId="2" borderId="21" xfId="0" applyNumberFormat="1" applyFont="1" applyFill="1" applyBorder="1" applyAlignment="1">
      <alignment horizontal="right"/>
    </xf>
    <xf numFmtId="0" fontId="87" fillId="2" borderId="0" xfId="170" applyFont="1" applyFill="1">
      <alignment vertical="top"/>
    </xf>
    <xf numFmtId="0" fontId="9" fillId="2" borderId="0" xfId="170" applyFill="1">
      <alignment vertical="top"/>
    </xf>
    <xf numFmtId="2" fontId="63" fillId="46" borderId="0" xfId="2" applyNumberFormat="1" applyFont="1" applyFill="1" applyBorder="1" applyAlignment="1">
      <alignment horizontal="right"/>
    </xf>
    <xf numFmtId="10" fontId="6" fillId="2" borderId="0" xfId="2" applyNumberFormat="1" applyFont="1" applyFill="1" applyBorder="1" applyAlignment="1">
      <alignment horizontal="right" vertical="center"/>
    </xf>
    <xf numFmtId="180" fontId="6" fillId="2" borderId="0" xfId="0" applyNumberFormat="1" applyFont="1" applyFill="1" applyBorder="1" applyAlignment="1">
      <alignment horizontal="right" vertical="center"/>
    </xf>
    <xf numFmtId="164" fontId="40" fillId="2" borderId="0" xfId="0" applyNumberFormat="1" applyFont="1" applyFill="1" applyAlignment="1">
      <alignment vertical="center"/>
    </xf>
    <xf numFmtId="191" fontId="8" fillId="2" borderId="0" xfId="169" applyNumberFormat="1" applyFont="1" applyFill="1" applyBorder="1"/>
    <xf numFmtId="191" fontId="1" fillId="2" borderId="0" xfId="169" applyNumberFormat="1" applyFont="1" applyFill="1" applyBorder="1"/>
    <xf numFmtId="44" fontId="63" fillId="2" borderId="0" xfId="0" applyNumberFormat="1" applyFont="1" applyFill="1" applyBorder="1"/>
    <xf numFmtId="3" fontId="59" fillId="2" borderId="0" xfId="0" applyNumberFormat="1" applyFont="1" applyFill="1" applyBorder="1" applyAlignment="1">
      <alignment horizontal="right"/>
    </xf>
    <xf numFmtId="3" fontId="63" fillId="2" borderId="0" xfId="0" applyNumberFormat="1" applyFont="1" applyFill="1" applyBorder="1" applyAlignment="1">
      <alignment horizontal="right"/>
    </xf>
    <xf numFmtId="3" fontId="63" fillId="2" borderId="0" xfId="0" applyNumberFormat="1" applyFont="1" applyFill="1" applyBorder="1" applyAlignment="1">
      <alignment horizontal="right" vertical="center"/>
    </xf>
    <xf numFmtId="164" fontId="8" fillId="2" borderId="0" xfId="0" applyNumberFormat="1" applyFont="1" applyFill="1" applyBorder="1" applyAlignment="1">
      <alignment horizontal="center"/>
    </xf>
    <xf numFmtId="164" fontId="40" fillId="48" borderId="0" xfId="0" applyNumberFormat="1" applyFont="1" applyFill="1" applyBorder="1" applyAlignment="1"/>
    <xf numFmtId="164" fontId="1" fillId="48" borderId="0" xfId="0" applyNumberFormat="1" applyFont="1" applyFill="1"/>
    <xf numFmtId="180" fontId="63" fillId="2" borderId="0" xfId="0" applyNumberFormat="1" applyFont="1" applyFill="1" applyBorder="1" applyAlignment="1">
      <alignment horizontal="left"/>
    </xf>
    <xf numFmtId="164" fontId="63" fillId="2" borderId="0" xfId="0" applyNumberFormat="1" applyFont="1" applyFill="1"/>
    <xf numFmtId="164" fontId="40" fillId="2" borderId="2" xfId="0" applyNumberFormat="1" applyFont="1" applyFill="1" applyBorder="1"/>
    <xf numFmtId="164" fontId="6" fillId="48" borderId="13" xfId="0" applyNumberFormat="1" applyFont="1" applyFill="1" applyBorder="1"/>
    <xf numFmtId="164" fontId="1" fillId="48" borderId="13" xfId="0" applyNumberFormat="1" applyFont="1" applyFill="1" applyBorder="1"/>
    <xf numFmtId="180" fontId="65" fillId="2" borderId="0" xfId="0" applyNumberFormat="1" applyFont="1" applyFill="1" applyBorder="1" applyAlignment="1">
      <alignment horizontal="left"/>
    </xf>
    <xf numFmtId="164" fontId="63" fillId="2" borderId="0" xfId="0" applyNumberFormat="1" applyFont="1" applyFill="1" applyAlignment="1">
      <alignment horizontal="left"/>
    </xf>
    <xf numFmtId="10" fontId="65" fillId="2" borderId="0" xfId="2" applyNumberFormat="1" applyFont="1" applyFill="1" applyBorder="1" applyAlignment="1">
      <alignment horizontal="left"/>
    </xf>
    <xf numFmtId="10" fontId="63" fillId="2" borderId="0" xfId="2" applyNumberFormat="1" applyFont="1" applyFill="1" applyBorder="1" applyAlignment="1">
      <alignment horizontal="left"/>
    </xf>
    <xf numFmtId="164" fontId="40" fillId="2" borderId="2" xfId="0" applyNumberFormat="1" applyFont="1" applyFill="1" applyBorder="1" applyAlignment="1">
      <alignment horizontal="right"/>
    </xf>
    <xf numFmtId="10" fontId="64" fillId="2" borderId="21" xfId="2" applyNumberFormat="1" applyFont="1" applyFill="1" applyBorder="1"/>
    <xf numFmtId="164" fontId="2" fillId="2" borderId="21" xfId="0" applyNumberFormat="1" applyFont="1" applyFill="1" applyBorder="1"/>
    <xf numFmtId="164" fontId="64" fillId="2" borderId="21" xfId="0" applyNumberFormat="1" applyFont="1" applyFill="1" applyBorder="1"/>
    <xf numFmtId="164" fontId="72" fillId="2" borderId="21" xfId="0" applyNumberFormat="1" applyFont="1" applyFill="1" applyBorder="1"/>
    <xf numFmtId="0" fontId="40" fillId="48" borderId="0" xfId="0" applyFont="1" applyFill="1"/>
    <xf numFmtId="0" fontId="91" fillId="48" borderId="0" xfId="0" applyFont="1" applyFill="1" applyAlignment="1">
      <alignment horizontal="left"/>
    </xf>
    <xf numFmtId="0" fontId="65" fillId="2" borderId="0" xfId="165" applyFont="1" applyFill="1"/>
    <xf numFmtId="0" fontId="63" fillId="2" borderId="0" xfId="165" applyFont="1" applyFill="1"/>
    <xf numFmtId="164" fontId="40" fillId="48" borderId="0" xfId="0" applyNumberFormat="1" applyFont="1" applyFill="1" applyAlignment="1">
      <alignment horizontal="right"/>
    </xf>
    <xf numFmtId="10" fontId="40" fillId="2" borderId="21" xfId="2" applyNumberFormat="1" applyFont="1" applyFill="1" applyBorder="1"/>
    <xf numFmtId="10" fontId="63" fillId="2" borderId="0" xfId="2" applyNumberFormat="1" applyFont="1" applyFill="1"/>
    <xf numFmtId="165" fontId="2" fillId="2" borderId="26" xfId="0" applyNumberFormat="1" applyFont="1" applyFill="1" applyBorder="1" applyAlignment="1">
      <alignment horizontal="right"/>
    </xf>
    <xf numFmtId="10" fontId="63" fillId="2" borderId="27" xfId="2" applyNumberFormat="1" applyFont="1" applyFill="1" applyBorder="1"/>
    <xf numFmtId="165" fontId="2" fillId="2" borderId="28" xfId="0" applyNumberFormat="1" applyFont="1" applyFill="1" applyBorder="1" applyAlignment="1">
      <alignment horizontal="right"/>
    </xf>
    <xf numFmtId="10" fontId="63" fillId="2" borderId="29" xfId="2" applyNumberFormat="1" applyFont="1" applyFill="1" applyBorder="1"/>
    <xf numFmtId="165" fontId="40" fillId="2" borderId="30" xfId="0" applyNumberFormat="1" applyFont="1" applyFill="1" applyBorder="1" applyAlignment="1">
      <alignment horizontal="right"/>
    </xf>
    <xf numFmtId="164" fontId="40" fillId="2" borderId="31" xfId="0" applyNumberFormat="1" applyFont="1" applyFill="1" applyBorder="1" applyAlignment="1">
      <alignment horizontal="right"/>
    </xf>
    <xf numFmtId="10" fontId="63" fillId="2" borderId="21" xfId="2" applyNumberFormat="1" applyFont="1" applyFill="1" applyBorder="1" applyAlignment="1">
      <alignment horizontal="left"/>
    </xf>
    <xf numFmtId="164" fontId="40" fillId="48" borderId="0" xfId="0" applyNumberFormat="1" applyFont="1" applyFill="1" applyAlignment="1">
      <alignment horizontal="left"/>
    </xf>
    <xf numFmtId="192" fontId="92" fillId="2" borderId="0" xfId="169" applyNumberFormat="1" applyFont="1" applyFill="1" applyBorder="1" applyAlignment="1">
      <alignment horizontal="right"/>
    </xf>
    <xf numFmtId="192" fontId="2" fillId="2" borderId="20" xfId="169" applyNumberFormat="1" applyFont="1" applyFill="1" applyBorder="1" applyAlignment="1">
      <alignment horizontal="right"/>
    </xf>
    <xf numFmtId="10" fontId="93" fillId="2" borderId="0" xfId="2" applyNumberFormat="1" applyFont="1" applyFill="1"/>
    <xf numFmtId="10" fontId="93" fillId="2" borderId="0" xfId="2" applyNumberFormat="1" applyFont="1" applyFill="1" applyBorder="1" applyAlignment="1">
      <alignment horizontal="right"/>
    </xf>
    <xf numFmtId="165" fontId="63" fillId="2" borderId="0" xfId="0" applyNumberFormat="1" applyFont="1" applyFill="1"/>
    <xf numFmtId="1" fontId="63" fillId="2" borderId="0" xfId="0" applyNumberFormat="1" applyFont="1" applyFill="1" applyAlignment="1">
      <alignment horizontal="right"/>
    </xf>
    <xf numFmtId="166" fontId="63" fillId="2" borderId="0" xfId="2" applyNumberFormat="1" applyFont="1" applyFill="1" applyAlignment="1">
      <alignment horizontal="right"/>
    </xf>
    <xf numFmtId="178" fontId="63" fillId="2" borderId="0" xfId="0" applyNumberFormat="1" applyFont="1" applyFill="1" applyAlignment="1">
      <alignment horizontal="right"/>
    </xf>
    <xf numFmtId="1" fontId="63" fillId="2" borderId="0" xfId="2" applyNumberFormat="1" applyFont="1" applyFill="1" applyBorder="1" applyAlignment="1">
      <alignment horizontal="right"/>
    </xf>
    <xf numFmtId="1" fontId="63" fillId="2" borderId="0" xfId="0" applyNumberFormat="1" applyFont="1" applyFill="1" applyBorder="1" applyAlignment="1">
      <alignment horizontal="right"/>
    </xf>
    <xf numFmtId="1" fontId="63" fillId="2" borderId="0" xfId="0" applyNumberFormat="1" applyFont="1" applyFill="1" applyBorder="1" applyAlignment="1">
      <alignment horizontal="right" vertical="center"/>
    </xf>
    <xf numFmtId="178" fontId="63" fillId="2" borderId="0" xfId="0" applyNumberFormat="1" applyFont="1" applyFill="1" applyBorder="1" applyAlignment="1">
      <alignment horizontal="right" vertical="center"/>
    </xf>
    <xf numFmtId="164" fontId="40" fillId="48" borderId="13" xfId="0" applyNumberFormat="1" applyFont="1" applyFill="1" applyBorder="1" applyAlignment="1"/>
    <xf numFmtId="164" fontId="65" fillId="48" borderId="13" xfId="0" applyNumberFormat="1" applyFont="1" applyFill="1" applyBorder="1" applyAlignment="1"/>
    <xf numFmtId="177" fontId="64" fillId="2" borderId="21" xfId="0" applyNumberFormat="1" applyFont="1" applyFill="1" applyBorder="1"/>
    <xf numFmtId="180" fontId="2" fillId="2" borderId="0" xfId="0" applyNumberFormat="1" applyFont="1" applyFill="1" applyBorder="1" applyAlignment="1">
      <alignment horizontal="right" vertical="center"/>
    </xf>
    <xf numFmtId="2" fontId="64" fillId="2" borderId="0" xfId="2" applyNumberFormat="1" applyFont="1" applyFill="1" applyBorder="1" applyAlignment="1">
      <alignment horizontal="right"/>
    </xf>
    <xf numFmtId="2" fontId="2" fillId="2" borderId="0" xfId="2" applyNumberFormat="1" applyFont="1" applyFill="1" applyBorder="1" applyAlignment="1">
      <alignment horizontal="right"/>
    </xf>
    <xf numFmtId="164" fontId="2" fillId="2" borderId="0" xfId="0" applyNumberFormat="1" applyFont="1" applyFill="1"/>
    <xf numFmtId="2" fontId="64" fillId="2" borderId="21" xfId="2" applyNumberFormat="1" applyFont="1" applyFill="1" applyBorder="1"/>
    <xf numFmtId="177" fontId="64" fillId="2" borderId="0" xfId="0" applyNumberFormat="1" applyFont="1" applyFill="1" applyBorder="1"/>
    <xf numFmtId="165" fontId="2" fillId="48" borderId="0" xfId="0" applyNumberFormat="1" applyFont="1" applyFill="1" applyBorder="1" applyAlignment="1">
      <alignment horizontal="right"/>
    </xf>
    <xf numFmtId="0" fontId="40" fillId="48" borderId="0" xfId="0" applyNumberFormat="1" applyFont="1" applyFill="1" applyBorder="1" applyAlignment="1">
      <alignment horizontal="right"/>
    </xf>
    <xf numFmtId="164" fontId="2" fillId="48" borderId="0" xfId="0" applyNumberFormat="1" applyFont="1" applyFill="1" applyBorder="1" applyAlignment="1">
      <alignment horizontal="right"/>
    </xf>
    <xf numFmtId="165" fontId="2" fillId="48" borderId="0" xfId="0" applyNumberFormat="1" applyFont="1" applyFill="1" applyBorder="1" applyAlignment="1">
      <alignment horizontal="left"/>
    </xf>
    <xf numFmtId="10" fontId="1" fillId="2" borderId="0" xfId="0" applyNumberFormat="1" applyFont="1" applyFill="1" applyBorder="1" applyAlignment="1">
      <alignment horizontal="right"/>
    </xf>
    <xf numFmtId="14" fontId="63" fillId="2" borderId="0" xfId="2" applyNumberFormat="1" applyFont="1" applyFill="1" applyBorder="1" applyAlignment="1">
      <alignment horizontal="right"/>
    </xf>
    <xf numFmtId="164" fontId="63" fillId="48" borderId="13" xfId="0" applyNumberFormat="1" applyFont="1" applyFill="1" applyBorder="1" applyAlignment="1">
      <alignment horizontal="right"/>
    </xf>
    <xf numFmtId="0" fontId="63" fillId="48" borderId="13" xfId="0" applyNumberFormat="1" applyFont="1" applyFill="1" applyBorder="1" applyAlignment="1">
      <alignment horizontal="right"/>
    </xf>
    <xf numFmtId="164" fontId="2" fillId="48" borderId="13" xfId="0" applyNumberFormat="1" applyFont="1" applyFill="1" applyBorder="1" applyAlignment="1">
      <alignment horizontal="right"/>
    </xf>
    <xf numFmtId="164" fontId="1" fillId="2" borderId="19" xfId="0" applyNumberFormat="1" applyFont="1" applyFill="1" applyBorder="1" applyAlignment="1">
      <alignment horizontal="right"/>
    </xf>
    <xf numFmtId="14" fontId="63" fillId="2" borderId="19" xfId="2" applyNumberFormat="1" applyFont="1" applyFill="1" applyBorder="1" applyAlignment="1">
      <alignment horizontal="right"/>
    </xf>
    <xf numFmtId="2" fontId="63" fillId="2" borderId="19" xfId="2" applyNumberFormat="1" applyFont="1" applyFill="1" applyBorder="1" applyAlignment="1">
      <alignment horizontal="right"/>
    </xf>
    <xf numFmtId="10" fontId="63" fillId="2" borderId="19" xfId="2" applyNumberFormat="1" applyFont="1" applyFill="1" applyBorder="1" applyAlignment="1">
      <alignment horizontal="right"/>
    </xf>
    <xf numFmtId="164" fontId="2" fillId="2" borderId="21" xfId="0" applyNumberFormat="1" applyFont="1" applyFill="1" applyBorder="1" applyAlignment="1">
      <alignment horizontal="right"/>
    </xf>
    <xf numFmtId="0" fontId="2" fillId="2" borderId="21" xfId="0" applyNumberFormat="1" applyFont="1" applyFill="1" applyBorder="1"/>
    <xf numFmtId="10" fontId="2" fillId="2" borderId="21" xfId="2" applyNumberFormat="1" applyFont="1" applyFill="1" applyBorder="1" applyAlignment="1">
      <alignment horizontal="right"/>
    </xf>
    <xf numFmtId="2" fontId="2" fillId="2" borderId="21" xfId="2" applyNumberFormat="1" applyFont="1" applyFill="1" applyBorder="1" applyAlignment="1">
      <alignment horizontal="right"/>
    </xf>
    <xf numFmtId="164" fontId="63" fillId="48" borderId="13" xfId="0" applyNumberFormat="1" applyFont="1" applyFill="1" applyBorder="1"/>
    <xf numFmtId="10" fontId="63" fillId="2" borderId="0" xfId="0" applyNumberFormat="1" applyFont="1" applyFill="1" applyBorder="1" applyAlignment="1">
      <alignment horizontal="right" vertical="center"/>
    </xf>
    <xf numFmtId="2" fontId="63" fillId="2" borderId="0" xfId="0" applyNumberFormat="1" applyFont="1" applyFill="1" applyBorder="1" applyAlignment="1">
      <alignment horizontal="right" vertical="center"/>
    </xf>
    <xf numFmtId="0" fontId="63" fillId="2" borderId="0" xfId="0" applyNumberFormat="1" applyFont="1" applyFill="1" applyBorder="1" applyAlignment="1">
      <alignment horizontal="right" vertical="center"/>
    </xf>
    <xf numFmtId="2" fontId="63" fillId="2" borderId="0" xfId="2" applyNumberFormat="1" applyFont="1" applyFill="1"/>
    <xf numFmtId="177" fontId="63" fillId="2" borderId="0" xfId="0" applyNumberFormat="1" applyFont="1" applyFill="1"/>
    <xf numFmtId="177" fontId="40" fillId="2" borderId="21" xfId="0" applyNumberFormat="1" applyFont="1" applyFill="1" applyBorder="1"/>
    <xf numFmtId="44" fontId="65" fillId="2" borderId="0" xfId="169" applyFont="1" applyFill="1"/>
    <xf numFmtId="164" fontId="40" fillId="2" borderId="21" xfId="0" applyNumberFormat="1" applyFont="1" applyFill="1" applyBorder="1"/>
    <xf numFmtId="164" fontId="2" fillId="48" borderId="0" xfId="0" applyNumberFormat="1" applyFont="1" applyFill="1"/>
    <xf numFmtId="164" fontId="2" fillId="48" borderId="0" xfId="0" applyNumberFormat="1" applyFont="1" applyFill="1" applyBorder="1" applyAlignment="1">
      <alignment horizontal="left"/>
    </xf>
    <xf numFmtId="193" fontId="93" fillId="2" borderId="0" xfId="169" applyNumberFormat="1" applyFont="1" applyFill="1" applyBorder="1" applyAlignment="1">
      <alignment horizontal="right"/>
    </xf>
    <xf numFmtId="164" fontId="93" fillId="2" borderId="0" xfId="0" applyNumberFormat="1" applyFont="1" applyFill="1" applyAlignment="1">
      <alignment horizontal="right"/>
    </xf>
    <xf numFmtId="180" fontId="93" fillId="2" borderId="0" xfId="0" applyNumberFormat="1" applyFont="1" applyFill="1" applyBorder="1" applyAlignment="1">
      <alignment horizontal="right"/>
    </xf>
    <xf numFmtId="164" fontId="93" fillId="2" borderId="0" xfId="0" applyNumberFormat="1" applyFont="1" applyFill="1"/>
    <xf numFmtId="183" fontId="93" fillId="2" borderId="0" xfId="169" applyNumberFormat="1" applyFont="1" applyFill="1" applyBorder="1" applyAlignment="1">
      <alignment horizontal="right"/>
    </xf>
    <xf numFmtId="2" fontId="93" fillId="2" borderId="0" xfId="169" applyNumberFormat="1" applyFont="1" applyFill="1" applyBorder="1" applyAlignment="1">
      <alignment horizontal="right"/>
    </xf>
    <xf numFmtId="10" fontId="93" fillId="2" borderId="0" xfId="2" applyNumberFormat="1" applyFont="1" applyFill="1" applyAlignment="1">
      <alignment horizontal="right"/>
    </xf>
    <xf numFmtId="10" fontId="93" fillId="2" borderId="0" xfId="2" applyNumberFormat="1" applyFont="1" applyFill="1" applyBorder="1"/>
    <xf numFmtId="10" fontId="65" fillId="2" borderId="0" xfId="2" applyNumberFormat="1" applyFont="1" applyFill="1"/>
    <xf numFmtId="10" fontId="65" fillId="2" borderId="0" xfId="2" applyNumberFormat="1" applyFont="1" applyFill="1" applyBorder="1" applyAlignment="1">
      <alignment horizontal="right"/>
    </xf>
    <xf numFmtId="10" fontId="59" fillId="2" borderId="0" xfId="2" applyNumberFormat="1" applyFont="1" applyFill="1" applyBorder="1"/>
    <xf numFmtId="10" fontId="72" fillId="2" borderId="21" xfId="2" applyNumberFormat="1" applyFont="1" applyFill="1" applyBorder="1"/>
    <xf numFmtId="180" fontId="1" fillId="2" borderId="0" xfId="0" applyNumberFormat="1" applyFont="1" applyFill="1" applyBorder="1" applyAlignment="1">
      <alignment horizontal="left" vertical="center"/>
    </xf>
    <xf numFmtId="164" fontId="1" fillId="2" borderId="21" xfId="0" applyNumberFormat="1" applyFont="1" applyFill="1" applyBorder="1" applyAlignment="1">
      <alignment horizontal="left"/>
    </xf>
    <xf numFmtId="164" fontId="65" fillId="2" borderId="0" xfId="0" applyNumberFormat="1" applyFont="1" applyFill="1"/>
    <xf numFmtId="164" fontId="59" fillId="2" borderId="0" xfId="0" applyNumberFormat="1" applyFont="1" applyFill="1"/>
    <xf numFmtId="164" fontId="40" fillId="48" borderId="0" xfId="0" applyNumberFormat="1" applyFont="1" applyFill="1" applyAlignment="1">
      <alignment vertical="center"/>
    </xf>
    <xf numFmtId="164" fontId="1" fillId="2" borderId="32" xfId="0" applyNumberFormat="1" applyFont="1" applyFill="1" applyBorder="1"/>
    <xf numFmtId="0" fontId="2" fillId="2" borderId="32" xfId="0" applyNumberFormat="1" applyFont="1" applyFill="1" applyBorder="1"/>
    <xf numFmtId="0" fontId="2" fillId="2" borderId="32" xfId="0" applyNumberFormat="1" applyFont="1" applyFill="1" applyBorder="1" applyAlignment="1">
      <alignment horizontal="right"/>
    </xf>
    <xf numFmtId="0" fontId="1" fillId="48" borderId="0" xfId="0" applyFont="1" applyFill="1" applyBorder="1"/>
    <xf numFmtId="0" fontId="2" fillId="48" borderId="0" xfId="0" applyFont="1" applyFill="1" applyBorder="1"/>
    <xf numFmtId="0" fontId="63" fillId="48" borderId="13" xfId="0" applyFont="1" applyFill="1" applyBorder="1"/>
    <xf numFmtId="0" fontId="2" fillId="2" borderId="19" xfId="0" applyFont="1" applyFill="1" applyBorder="1"/>
    <xf numFmtId="0" fontId="40" fillId="2" borderId="21" xfId="0" applyFont="1" applyFill="1" applyBorder="1"/>
    <xf numFmtId="191" fontId="40" fillId="2" borderId="21" xfId="169" applyNumberFormat="1" applyFont="1" applyFill="1" applyBorder="1"/>
    <xf numFmtId="0" fontId="40" fillId="2" borderId="19" xfId="0" applyFont="1" applyFill="1" applyBorder="1"/>
    <xf numFmtId="0" fontId="2" fillId="2" borderId="21" xfId="0" applyFont="1" applyFill="1" applyBorder="1"/>
    <xf numFmtId="10" fontId="63" fillId="2" borderId="0" xfId="0" applyNumberFormat="1" applyFont="1" applyFill="1" applyBorder="1"/>
    <xf numFmtId="0" fontId="1" fillId="2" borderId="0" xfId="0" applyFont="1" applyFill="1" applyBorder="1" applyAlignment="1">
      <alignment horizontal="left" indent="1"/>
    </xf>
    <xf numFmtId="0" fontId="59" fillId="2" borderId="0" xfId="0" applyFont="1" applyFill="1" applyBorder="1" applyAlignment="1">
      <alignment horizontal="left" indent="1"/>
    </xf>
    <xf numFmtId="0" fontId="59" fillId="2" borderId="0" xfId="0" applyFont="1" applyFill="1" applyBorder="1" applyAlignment="1">
      <alignment horizontal="left"/>
    </xf>
    <xf numFmtId="192" fontId="59" fillId="2" borderId="0" xfId="169" applyNumberFormat="1" applyFont="1" applyFill="1" applyBorder="1" applyAlignment="1">
      <alignment horizontal="right"/>
    </xf>
    <xf numFmtId="192" fontId="1" fillId="2" borderId="0" xfId="169" applyNumberFormat="1" applyFont="1" applyFill="1" applyBorder="1"/>
    <xf numFmtId="192" fontId="2" fillId="2" borderId="19" xfId="169" applyNumberFormat="1" applyFont="1" applyFill="1" applyBorder="1"/>
    <xf numFmtId="192" fontId="40" fillId="2" borderId="21" xfId="169" applyNumberFormat="1" applyFont="1" applyFill="1" applyBorder="1"/>
    <xf numFmtId="192" fontId="40" fillId="2" borderId="19" xfId="169" applyNumberFormat="1" applyFont="1" applyFill="1" applyBorder="1"/>
    <xf numFmtId="9" fontId="63" fillId="2" borderId="0" xfId="2" applyFont="1" applyFill="1" applyBorder="1"/>
    <xf numFmtId="192" fontId="40" fillId="2" borderId="21" xfId="169" applyNumberFormat="1" applyFont="1" applyFill="1" applyBorder="1" applyAlignment="1">
      <alignment horizontal="right"/>
    </xf>
    <xf numFmtId="9" fontId="63" fillId="2" borderId="0" xfId="2" applyNumberFormat="1" applyFont="1" applyFill="1" applyBorder="1"/>
    <xf numFmtId="194" fontId="2" fillId="48" borderId="13" xfId="0" applyNumberFormat="1" applyFont="1" applyFill="1" applyBorder="1" applyAlignment="1">
      <alignment horizontal="right"/>
    </xf>
    <xf numFmtId="0" fontId="40" fillId="48" borderId="0" xfId="0" applyFont="1" applyFill="1" applyBorder="1" applyAlignment="1">
      <alignment vertical="center"/>
    </xf>
    <xf numFmtId="10" fontId="6" fillId="2" borderId="0" xfId="2" applyNumberFormat="1" applyFont="1" applyFill="1" applyBorder="1" applyAlignment="1">
      <alignment horizontal="center"/>
    </xf>
    <xf numFmtId="10" fontId="73" fillId="2" borderId="0" xfId="2" applyNumberFormat="1" applyFont="1" applyFill="1" applyBorder="1" applyAlignment="1">
      <alignment horizontal="center"/>
    </xf>
    <xf numFmtId="0" fontId="1" fillId="48" borderId="0" xfId="0" applyFont="1" applyFill="1" applyBorder="1" applyAlignment="1">
      <alignment horizontal="right" vertical="center"/>
    </xf>
    <xf numFmtId="0" fontId="40" fillId="48" borderId="13" xfId="0" applyFont="1" applyFill="1" applyBorder="1" applyAlignment="1">
      <alignment vertical="center"/>
    </xf>
    <xf numFmtId="44" fontId="1" fillId="2" borderId="0" xfId="169" applyFont="1" applyFill="1" applyBorder="1"/>
    <xf numFmtId="192" fontId="40" fillId="2" borderId="21" xfId="169" applyNumberFormat="1" applyFont="1" applyFill="1" applyBorder="1" applyAlignment="1">
      <alignment horizontal="right" vertical="center"/>
    </xf>
    <xf numFmtId="192" fontId="2" fillId="2" borderId="0" xfId="169" applyNumberFormat="1" applyFont="1" applyFill="1" applyBorder="1"/>
    <xf numFmtId="192" fontId="2" fillId="2" borderId="18" xfId="169" applyNumberFormat="1" applyFont="1" applyFill="1" applyBorder="1"/>
    <xf numFmtId="192" fontId="59" fillId="2" borderId="0" xfId="169" applyNumberFormat="1" applyFont="1" applyFill="1" applyBorder="1"/>
    <xf numFmtId="192" fontId="92" fillId="2" borderId="0" xfId="169" applyNumberFormat="1" applyFont="1" applyFill="1" applyBorder="1"/>
    <xf numFmtId="192" fontId="1" fillId="2" borderId="0" xfId="169" applyNumberFormat="1" applyFont="1" applyFill="1" applyBorder="1" applyAlignment="1">
      <alignment horizontal="right" vertical="center"/>
    </xf>
    <xf numFmtId="0" fontId="1" fillId="2" borderId="19" xfId="0" applyFont="1" applyFill="1" applyBorder="1"/>
    <xf numFmtId="192" fontId="1" fillId="2" borderId="19" xfId="169" applyNumberFormat="1" applyFont="1" applyFill="1" applyBorder="1"/>
    <xf numFmtId="0" fontId="1" fillId="2" borderId="18" xfId="0" applyFont="1" applyFill="1" applyBorder="1"/>
    <xf numFmtId="192" fontId="1" fillId="2" borderId="18" xfId="169" applyNumberFormat="1" applyFont="1" applyFill="1" applyBorder="1" applyAlignment="1">
      <alignment horizontal="right" vertical="center"/>
    </xf>
    <xf numFmtId="192" fontId="1" fillId="2" borderId="18" xfId="169" applyNumberFormat="1" applyFont="1" applyFill="1" applyBorder="1"/>
    <xf numFmtId="9" fontId="65" fillId="2" borderId="0" xfId="2" applyNumberFormat="1" applyFont="1" applyFill="1" applyBorder="1" applyAlignment="1">
      <alignment horizontal="right"/>
    </xf>
    <xf numFmtId="0" fontId="65" fillId="2" borderId="0" xfId="0" applyFont="1" applyFill="1" applyBorder="1" applyAlignment="1">
      <alignment horizontal="left"/>
    </xf>
    <xf numFmtId="191" fontId="63" fillId="2" borderId="0" xfId="169" applyNumberFormat="1" applyFont="1" applyFill="1" applyBorder="1"/>
    <xf numFmtId="0" fontId="2" fillId="2" borderId="18" xfId="0" applyFont="1" applyFill="1" applyBorder="1" applyAlignment="1">
      <alignment horizontal="right"/>
    </xf>
    <xf numFmtId="178" fontId="1" fillId="2" borderId="0" xfId="0" applyNumberFormat="1" applyFont="1" applyFill="1" applyBorder="1" applyAlignment="1">
      <alignment horizontal="right"/>
    </xf>
    <xf numFmtId="192" fontId="1" fillId="2" borderId="0" xfId="0" applyNumberFormat="1" applyFont="1" applyFill="1" applyBorder="1"/>
    <xf numFmtId="192" fontId="40" fillId="2" borderId="21" xfId="169" applyNumberFormat="1" applyFont="1" applyFill="1" applyBorder="1" applyAlignment="1"/>
    <xf numFmtId="192" fontId="2" fillId="2" borderId="21" xfId="169" applyNumberFormat="1" applyFont="1" applyFill="1" applyBorder="1"/>
    <xf numFmtId="9" fontId="63" fillId="2" borderId="18" xfId="0" applyNumberFormat="1" applyFont="1" applyFill="1" applyBorder="1"/>
    <xf numFmtId="0" fontId="1" fillId="2" borderId="0" xfId="0" applyFont="1" applyFill="1" applyBorder="1" applyAlignment="1">
      <alignment horizontal="left" vertical="center"/>
    </xf>
    <xf numFmtId="44" fontId="1" fillId="2" borderId="0" xfId="169" applyFont="1" applyFill="1" applyBorder="1" applyAlignment="1">
      <alignment horizontal="right" vertical="center"/>
    </xf>
    <xf numFmtId="0" fontId="2" fillId="2" borderId="20" xfId="0" applyFont="1" applyFill="1" applyBorder="1" applyAlignment="1">
      <alignment horizontal="left" vertical="center"/>
    </xf>
    <xf numFmtId="10" fontId="40" fillId="2" borderId="20" xfId="2" applyNumberFormat="1" applyFont="1" applyFill="1" applyBorder="1" applyAlignment="1">
      <alignment horizontal="right" vertical="center"/>
    </xf>
    <xf numFmtId="0" fontId="2" fillId="2" borderId="20" xfId="0" applyFont="1" applyFill="1" applyBorder="1"/>
    <xf numFmtId="2" fontId="65" fillId="2" borderId="0" xfId="0" applyNumberFormat="1" applyFont="1" applyFill="1" applyBorder="1"/>
    <xf numFmtId="1" fontId="63" fillId="2" borderId="0" xfId="2" applyNumberFormat="1" applyFont="1" applyFill="1" applyBorder="1" applyAlignment="1"/>
    <xf numFmtId="164" fontId="59" fillId="2" borderId="0" xfId="0" applyNumberFormat="1" applyFont="1" applyFill="1" applyAlignment="1">
      <alignment horizontal="right"/>
    </xf>
    <xf numFmtId="165" fontId="2" fillId="2" borderId="32" xfId="0" applyNumberFormat="1" applyFont="1" applyFill="1" applyBorder="1" applyAlignment="1">
      <alignment horizontal="right"/>
    </xf>
    <xf numFmtId="0" fontId="40" fillId="2" borderId="32" xfId="0" applyNumberFormat="1" applyFont="1" applyFill="1" applyBorder="1" applyAlignment="1">
      <alignment horizontal="right"/>
    </xf>
    <xf numFmtId="189" fontId="1" fillId="2" borderId="0" xfId="0" applyNumberFormat="1" applyFont="1" applyFill="1" applyBorder="1"/>
    <xf numFmtId="1" fontId="59" fillId="2" borderId="0" xfId="0" applyNumberFormat="1" applyFont="1" applyFill="1" applyBorder="1"/>
    <xf numFmtId="189" fontId="40" fillId="2" borderId="0" xfId="2" applyNumberFormat="1" applyFont="1" applyFill="1" applyBorder="1" applyAlignment="1">
      <alignment horizontal="right" vertical="center"/>
    </xf>
    <xf numFmtId="189" fontId="59" fillId="2" borderId="0" xfId="0" applyNumberFormat="1" applyFont="1" applyFill="1" applyBorder="1"/>
    <xf numFmtId="0" fontId="59" fillId="2" borderId="0" xfId="0" applyFont="1" applyFill="1" applyBorder="1"/>
    <xf numFmtId="195" fontId="40" fillId="2" borderId="0" xfId="0" applyNumberFormat="1" applyFont="1" applyFill="1" applyBorder="1" applyAlignment="1">
      <alignment horizontal="right"/>
    </xf>
    <xf numFmtId="187" fontId="2" fillId="2" borderId="0" xfId="2" applyNumberFormat="1" applyFont="1" applyFill="1" applyBorder="1"/>
    <xf numFmtId="190" fontId="2" fillId="2" borderId="0" xfId="0" applyNumberFormat="1" applyFont="1" applyFill="1" applyBorder="1"/>
    <xf numFmtId="188" fontId="2" fillId="2" borderId="0" xfId="0" applyNumberFormat="1" applyFont="1" applyFill="1" applyBorder="1" applyAlignment="1">
      <alignment horizontal="right"/>
    </xf>
    <xf numFmtId="190" fontId="1" fillId="2" borderId="0" xfId="0" applyNumberFormat="1" applyFont="1" applyFill="1" applyBorder="1"/>
    <xf numFmtId="194" fontId="40" fillId="48" borderId="13" xfId="0" applyNumberFormat="1" applyFont="1" applyFill="1" applyBorder="1" applyAlignment="1"/>
    <xf numFmtId="195" fontId="40" fillId="48" borderId="13" xfId="0" applyNumberFormat="1" applyFont="1" applyFill="1" applyBorder="1" applyAlignment="1"/>
    <xf numFmtId="0" fontId="1" fillId="2" borderId="21" xfId="0" applyFont="1" applyFill="1" applyBorder="1"/>
    <xf numFmtId="44" fontId="59" fillId="2" borderId="0" xfId="169" applyFont="1" applyFill="1" applyBorder="1"/>
    <xf numFmtId="44" fontId="40" fillId="2" borderId="0" xfId="169" applyFont="1" applyFill="1" applyBorder="1"/>
    <xf numFmtId="0" fontId="59" fillId="2" borderId="0" xfId="0" applyNumberFormat="1" applyFont="1" applyFill="1" applyBorder="1" applyAlignment="1">
      <alignment horizontal="left"/>
    </xf>
    <xf numFmtId="0" fontId="65" fillId="2" borderId="0" xfId="0" applyNumberFormat="1" applyFont="1" applyFill="1" applyBorder="1" applyAlignment="1">
      <alignment horizontal="left"/>
    </xf>
    <xf numFmtId="0" fontId="40" fillId="2" borderId="19" xfId="0" applyNumberFormat="1" applyFont="1" applyFill="1" applyBorder="1" applyAlignment="1">
      <alignment horizontal="left"/>
    </xf>
    <xf numFmtId="10" fontId="65" fillId="2" borderId="0" xfId="2" applyNumberFormat="1" applyFont="1" applyFill="1" applyBorder="1" applyAlignment="1">
      <alignment horizontal="right" vertical="center"/>
    </xf>
    <xf numFmtId="0" fontId="65" fillId="2" borderId="0" xfId="0" applyNumberFormat="1" applyFont="1" applyFill="1" applyBorder="1" applyAlignment="1">
      <alignment horizontal="left" indent="1"/>
    </xf>
    <xf numFmtId="0" fontId="8" fillId="48" borderId="0" xfId="0" applyFont="1" applyFill="1" applyBorder="1" applyAlignment="1">
      <alignment horizontal="right"/>
    </xf>
    <xf numFmtId="188" fontId="2" fillId="48" borderId="13" xfId="0" applyNumberFormat="1" applyFont="1" applyFill="1" applyBorder="1"/>
    <xf numFmtId="187" fontId="2" fillId="48" borderId="13" xfId="2" applyNumberFormat="1" applyFont="1" applyFill="1" applyBorder="1"/>
    <xf numFmtId="188" fontId="2" fillId="48" borderId="0" xfId="0" applyNumberFormat="1" applyFont="1" applyFill="1" applyBorder="1"/>
    <xf numFmtId="192" fontId="40" fillId="2" borderId="19" xfId="169" applyNumberFormat="1" applyFont="1" applyFill="1" applyBorder="1" applyAlignment="1">
      <alignment horizontal="left"/>
    </xf>
    <xf numFmtId="192" fontId="59" fillId="2" borderId="0" xfId="2" applyNumberFormat="1" applyFont="1" applyFill="1" applyBorder="1"/>
    <xf numFmtId="192" fontId="2" fillId="2" borderId="19" xfId="0" applyNumberFormat="1" applyFont="1" applyFill="1" applyBorder="1"/>
    <xf numFmtId="166" fontId="1" fillId="2" borderId="0" xfId="2" applyNumberFormat="1" applyFont="1" applyFill="1" applyBorder="1"/>
    <xf numFmtId="192" fontId="2" fillId="2" borderId="21" xfId="0" applyNumberFormat="1" applyFont="1" applyFill="1" applyBorder="1"/>
    <xf numFmtId="186" fontId="1" fillId="2" borderId="0" xfId="169" applyNumberFormat="1" applyFont="1" applyFill="1" applyBorder="1"/>
    <xf numFmtId="192" fontId="59" fillId="2" borderId="0" xfId="169" applyNumberFormat="1" applyFont="1" applyFill="1"/>
    <xf numFmtId="10" fontId="1" fillId="2" borderId="19" xfId="2" applyNumberFormat="1" applyFont="1" applyFill="1" applyBorder="1"/>
    <xf numFmtId="0" fontId="63" fillId="2" borderId="0" xfId="0" applyFont="1" applyFill="1" applyBorder="1" applyAlignment="1">
      <alignment horizontal="left" indent="1"/>
    </xf>
    <xf numFmtId="194" fontId="40" fillId="2" borderId="0" xfId="0" applyNumberFormat="1" applyFont="1" applyFill="1" applyBorder="1" applyAlignment="1"/>
    <xf numFmtId="2" fontId="2" fillId="2" borderId="0" xfId="0" applyNumberFormat="1" applyFont="1" applyFill="1" applyBorder="1"/>
    <xf numFmtId="10" fontId="1" fillId="2" borderId="21" xfId="0" applyNumberFormat="1" applyFont="1" applyFill="1" applyBorder="1"/>
    <xf numFmtId="164" fontId="94" fillId="48" borderId="0" xfId="0" applyNumberFormat="1" applyFont="1" applyFill="1" applyBorder="1" applyAlignment="1"/>
    <xf numFmtId="164" fontId="2" fillId="2" borderId="18" xfId="0" applyNumberFormat="1" applyFont="1" applyFill="1" applyBorder="1"/>
    <xf numFmtId="192" fontId="65" fillId="2" borderId="0" xfId="169" applyNumberFormat="1" applyFont="1" applyFill="1"/>
    <xf numFmtId="192" fontId="63" fillId="2" borderId="0" xfId="169" applyNumberFormat="1" applyFont="1" applyFill="1"/>
    <xf numFmtId="192" fontId="63" fillId="2" borderId="0" xfId="169" applyNumberFormat="1" applyFont="1" applyFill="1" applyBorder="1" applyAlignment="1">
      <alignment horizontal="right" vertical="center"/>
    </xf>
    <xf numFmtId="192" fontId="63" fillId="2" borderId="21" xfId="169" applyNumberFormat="1" applyFont="1" applyFill="1" applyBorder="1" applyAlignment="1">
      <alignment horizontal="right"/>
    </xf>
    <xf numFmtId="192" fontId="93" fillId="2" borderId="0" xfId="169" applyNumberFormat="1" applyFont="1" applyFill="1" applyBorder="1" applyAlignment="1">
      <alignment horizontal="right"/>
    </xf>
    <xf numFmtId="192" fontId="63" fillId="2" borderId="19" xfId="169" applyNumberFormat="1" applyFont="1" applyFill="1" applyBorder="1" applyAlignment="1">
      <alignment horizontal="right"/>
    </xf>
    <xf numFmtId="192" fontId="2" fillId="2" borderId="21" xfId="169" applyNumberFormat="1" applyFont="1" applyFill="1" applyBorder="1" applyAlignment="1">
      <alignment horizontal="right"/>
    </xf>
    <xf numFmtId="164" fontId="40" fillId="2" borderId="17" xfId="0" applyNumberFormat="1" applyFont="1" applyFill="1" applyBorder="1"/>
    <xf numFmtId="192" fontId="40" fillId="2" borderId="17" xfId="169" applyNumberFormat="1" applyFont="1" applyFill="1" applyBorder="1"/>
    <xf numFmtId="49" fontId="59" fillId="2" borderId="0" xfId="0" quotePrefix="1" applyNumberFormat="1" applyFont="1" applyFill="1" applyBorder="1"/>
    <xf numFmtId="49" fontId="59" fillId="2" borderId="0" xfId="0" applyNumberFormat="1" applyFont="1" applyFill="1" applyBorder="1"/>
    <xf numFmtId="192" fontId="2" fillId="2" borderId="19" xfId="169" applyNumberFormat="1" applyFont="1" applyFill="1" applyBorder="1" applyAlignment="1">
      <alignment horizontal="left" vertical="center"/>
    </xf>
    <xf numFmtId="44" fontId="40" fillId="2" borderId="21" xfId="169" applyNumberFormat="1" applyFont="1" applyFill="1" applyBorder="1" applyAlignment="1">
      <alignment horizontal="left" vertical="center"/>
    </xf>
    <xf numFmtId="192" fontId="1" fillId="2" borderId="0" xfId="169" applyNumberFormat="1" applyFont="1" applyFill="1"/>
    <xf numFmtId="0" fontId="2" fillId="48" borderId="0" xfId="0" applyFont="1" applyFill="1" applyBorder="1" applyAlignment="1">
      <alignment horizontal="right"/>
    </xf>
    <xf numFmtId="192" fontId="63" fillId="2" borderId="0" xfId="169" applyNumberFormat="1" applyFont="1" applyFill="1" applyBorder="1"/>
    <xf numFmtId="195" fontId="2" fillId="48" borderId="13" xfId="0" applyNumberFormat="1" applyFont="1" applyFill="1" applyBorder="1" applyAlignment="1">
      <alignment horizontal="right"/>
    </xf>
    <xf numFmtId="186" fontId="59" fillId="2" borderId="0" xfId="169" applyNumberFormat="1" applyFont="1" applyFill="1" applyBorder="1" applyAlignment="1">
      <alignment horizontal="right"/>
    </xf>
    <xf numFmtId="0" fontId="63" fillId="2" borderId="21" xfId="0" applyFont="1" applyFill="1" applyBorder="1"/>
    <xf numFmtId="192" fontId="1" fillId="2" borderId="21" xfId="169" applyNumberFormat="1" applyFont="1" applyFill="1" applyBorder="1"/>
    <xf numFmtId="2" fontId="63" fillId="2" borderId="0" xfId="169" applyNumberFormat="1" applyFont="1" applyFill="1"/>
    <xf numFmtId="44" fontId="1" fillId="2" borderId="0" xfId="169" applyFont="1" applyFill="1"/>
    <xf numFmtId="9" fontId="65" fillId="2" borderId="0" xfId="2" applyNumberFormat="1" applyFont="1" applyFill="1" applyBorder="1" applyAlignment="1"/>
    <xf numFmtId="164" fontId="63" fillId="2" borderId="0" xfId="0" applyNumberFormat="1" applyFont="1" applyFill="1" applyBorder="1" applyAlignment="1">
      <alignment horizontal="left" indent="1"/>
    </xf>
    <xf numFmtId="10" fontId="95" fillId="2" borderId="0" xfId="2" applyNumberFormat="1" applyFont="1" applyFill="1" applyBorder="1" applyAlignment="1">
      <alignment wrapText="1"/>
    </xf>
    <xf numFmtId="164" fontId="1" fillId="2" borderId="19" xfId="0" applyNumberFormat="1" applyFont="1" applyFill="1" applyBorder="1"/>
    <xf numFmtId="44" fontId="1" fillId="2" borderId="19" xfId="169" applyFont="1" applyFill="1" applyBorder="1"/>
    <xf numFmtId="165" fontId="1" fillId="2" borderId="0" xfId="0" applyNumberFormat="1" applyFont="1" applyFill="1"/>
    <xf numFmtId="164" fontId="40" fillId="48" borderId="0" xfId="0" applyNumberFormat="1" applyFont="1" applyFill="1" applyBorder="1" applyAlignment="1">
      <alignment horizontal="left"/>
    </xf>
    <xf numFmtId="166" fontId="59" fillId="2" borderId="0" xfId="2" applyNumberFormat="1" applyFont="1" applyFill="1" applyBorder="1" applyAlignment="1"/>
    <xf numFmtId="9" fontId="59" fillId="2" borderId="0" xfId="2" applyNumberFormat="1" applyFont="1" applyFill="1" applyBorder="1" applyAlignment="1"/>
    <xf numFmtId="44" fontId="59" fillId="2" borderId="0" xfId="169" applyFont="1" applyFill="1" applyBorder="1" applyAlignment="1"/>
    <xf numFmtId="166" fontId="65" fillId="48" borderId="0" xfId="2" applyNumberFormat="1" applyFont="1" applyFill="1" applyBorder="1"/>
    <xf numFmtId="166" fontId="63" fillId="48" borderId="0" xfId="2" applyNumberFormat="1" applyFont="1" applyFill="1" applyBorder="1"/>
    <xf numFmtId="166" fontId="65" fillId="48" borderId="0" xfId="2" applyNumberFormat="1" applyFont="1" applyFill="1" applyBorder="1" applyAlignment="1"/>
    <xf numFmtId="44" fontId="1" fillId="2" borderId="0" xfId="169" applyNumberFormat="1" applyFont="1" applyFill="1"/>
    <xf numFmtId="164" fontId="63" fillId="2" borderId="13" xfId="0" applyNumberFormat="1" applyFont="1" applyFill="1" applyBorder="1"/>
    <xf numFmtId="164" fontId="1" fillId="2" borderId="13" xfId="0" applyNumberFormat="1" applyFont="1" applyFill="1" applyBorder="1"/>
    <xf numFmtId="2" fontId="63" fillId="2" borderId="13" xfId="0" applyNumberFormat="1" applyFont="1" applyFill="1" applyBorder="1"/>
    <xf numFmtId="9" fontId="4" fillId="2" borderId="13" xfId="2" applyFont="1" applyFill="1" applyBorder="1"/>
    <xf numFmtId="165" fontId="1" fillId="2" borderId="13" xfId="0" applyNumberFormat="1" applyFont="1" applyFill="1" applyBorder="1"/>
    <xf numFmtId="164" fontId="8" fillId="48" borderId="13" xfId="0" applyNumberFormat="1" applyFont="1" applyFill="1" applyBorder="1" applyAlignment="1"/>
    <xf numFmtId="9" fontId="40" fillId="48" borderId="0" xfId="2" applyFont="1" applyFill="1" applyBorder="1" applyAlignment="1">
      <alignment horizontal="right"/>
    </xf>
    <xf numFmtId="164" fontId="40" fillId="48" borderId="13" xfId="0" applyNumberFormat="1" applyFont="1" applyFill="1" applyBorder="1" applyAlignment="1">
      <alignment horizontal="right"/>
    </xf>
    <xf numFmtId="9" fontId="40" fillId="48" borderId="13" xfId="2" applyFont="1" applyFill="1" applyBorder="1" applyAlignment="1">
      <alignment horizontal="right"/>
    </xf>
    <xf numFmtId="177" fontId="40" fillId="2" borderId="0" xfId="0" applyNumberFormat="1" applyFont="1" applyFill="1" applyAlignment="1">
      <alignment horizontal="right"/>
    </xf>
    <xf numFmtId="44" fontId="65" fillId="2" borderId="0" xfId="169" applyFont="1" applyFill="1" applyBorder="1" applyAlignment="1">
      <alignment horizontal="right"/>
    </xf>
    <xf numFmtId="192" fontId="65" fillId="2" borderId="0" xfId="169" applyNumberFormat="1" applyFont="1" applyFill="1" applyBorder="1" applyAlignment="1">
      <alignment horizontal="right"/>
    </xf>
    <xf numFmtId="166" fontId="63" fillId="48" borderId="33" xfId="2" applyNumberFormat="1" applyFont="1" applyFill="1" applyBorder="1"/>
    <xf numFmtId="166" fontId="65" fillId="48" borderId="33" xfId="2" applyNumberFormat="1" applyFont="1" applyFill="1" applyBorder="1"/>
    <xf numFmtId="44" fontId="1" fillId="2" borderId="19" xfId="169" applyNumberFormat="1" applyFont="1" applyFill="1" applyBorder="1"/>
    <xf numFmtId="44" fontId="59" fillId="2" borderId="34" xfId="169" applyFont="1" applyFill="1" applyBorder="1"/>
    <xf numFmtId="44" fontId="59" fillId="2" borderId="19" xfId="169" applyFont="1" applyFill="1" applyBorder="1" applyAlignment="1"/>
    <xf numFmtId="9" fontId="40" fillId="48" borderId="0" xfId="2" applyFont="1" applyFill="1" applyBorder="1" applyAlignment="1">
      <alignment horizontal="center"/>
    </xf>
    <xf numFmtId="1" fontId="40" fillId="48" borderId="0" xfId="2" applyNumberFormat="1" applyFont="1" applyFill="1" applyBorder="1" applyAlignment="1">
      <alignment horizontal="center"/>
    </xf>
    <xf numFmtId="44" fontId="59" fillId="2" borderId="0" xfId="169" applyFont="1" applyFill="1" applyBorder="1" applyAlignment="1">
      <alignment horizontal="center"/>
    </xf>
    <xf numFmtId="2" fontId="59" fillId="2" borderId="0" xfId="169" applyNumberFormat="1" applyFont="1" applyFill="1" applyBorder="1" applyAlignment="1">
      <alignment horizontal="center"/>
    </xf>
    <xf numFmtId="9" fontId="59" fillId="2" borderId="0" xfId="2" applyFont="1" applyFill="1" applyBorder="1" applyAlignment="1"/>
    <xf numFmtId="177" fontId="59" fillId="2" borderId="0" xfId="0" applyNumberFormat="1" applyFont="1" applyFill="1" applyBorder="1" applyAlignment="1"/>
    <xf numFmtId="192" fontId="59" fillId="2" borderId="0" xfId="169" applyNumberFormat="1" applyFont="1" applyFill="1" applyBorder="1" applyAlignment="1"/>
    <xf numFmtId="10" fontId="65" fillId="2" borderId="0" xfId="169" applyNumberFormat="1" applyFont="1" applyFill="1" applyBorder="1" applyAlignment="1">
      <alignment horizontal="right"/>
    </xf>
    <xf numFmtId="166" fontId="65" fillId="2" borderId="0" xfId="169" applyNumberFormat="1" applyFont="1" applyFill="1" applyBorder="1" applyAlignment="1">
      <alignment horizontal="right"/>
    </xf>
    <xf numFmtId="178" fontId="59" fillId="2" borderId="0" xfId="169" applyNumberFormat="1" applyFont="1" applyFill="1" applyBorder="1" applyAlignment="1"/>
    <xf numFmtId="9" fontId="59" fillId="47" borderId="0" xfId="2" applyFont="1" applyFill="1" applyBorder="1"/>
    <xf numFmtId="9" fontId="59" fillId="47" borderId="0" xfId="2" applyNumberFormat="1" applyFont="1" applyFill="1" applyBorder="1" applyAlignment="1"/>
    <xf numFmtId="177" fontId="59" fillId="47" borderId="0" xfId="0" applyNumberFormat="1" applyFont="1" applyFill="1" applyBorder="1" applyAlignment="1"/>
    <xf numFmtId="166" fontId="59" fillId="47" borderId="0" xfId="2" applyNumberFormat="1" applyFont="1" applyFill="1" applyBorder="1" applyAlignment="1"/>
    <xf numFmtId="192" fontId="59" fillId="47" borderId="0" xfId="169" applyNumberFormat="1" applyFont="1" applyFill="1" applyBorder="1" applyAlignment="1"/>
    <xf numFmtId="178" fontId="59" fillId="47" borderId="0" xfId="169" applyNumberFormat="1" applyFont="1" applyFill="1" applyBorder="1" applyAlignment="1"/>
    <xf numFmtId="2" fontId="59" fillId="47" borderId="0" xfId="169" applyNumberFormat="1" applyFont="1" applyFill="1" applyBorder="1" applyAlignment="1">
      <alignment horizontal="center"/>
    </xf>
    <xf numFmtId="10" fontId="65" fillId="47" borderId="0" xfId="169" applyNumberFormat="1" applyFont="1" applyFill="1" applyBorder="1" applyAlignment="1">
      <alignment horizontal="right"/>
    </xf>
    <xf numFmtId="166" fontId="65" fillId="47" borderId="0" xfId="169" applyNumberFormat="1" applyFont="1" applyFill="1" applyBorder="1" applyAlignment="1">
      <alignment horizontal="right"/>
    </xf>
    <xf numFmtId="10" fontId="59" fillId="2" borderId="0" xfId="2" applyNumberFormat="1" applyFont="1" applyFill="1" applyBorder="1" applyAlignment="1"/>
    <xf numFmtId="196" fontId="65" fillId="2" borderId="0" xfId="2" applyNumberFormat="1" applyFont="1" applyFill="1" applyBorder="1" applyAlignment="1">
      <alignment horizontal="right"/>
    </xf>
    <xf numFmtId="196" fontId="65" fillId="47" borderId="0" xfId="2" applyNumberFormat="1" applyFont="1" applyFill="1" applyBorder="1" applyAlignment="1">
      <alignment horizontal="right"/>
    </xf>
    <xf numFmtId="10" fontId="59" fillId="2" borderId="0" xfId="169" applyNumberFormat="1" applyFont="1" applyFill="1" applyBorder="1" applyAlignment="1">
      <alignment horizontal="right"/>
    </xf>
    <xf numFmtId="10" fontId="59" fillId="47" borderId="0" xfId="2" applyNumberFormat="1" applyFont="1" applyFill="1" applyBorder="1" applyAlignment="1"/>
    <xf numFmtId="192" fontId="59" fillId="47" borderId="0" xfId="169" applyNumberFormat="1" applyFont="1" applyFill="1" applyBorder="1" applyAlignment="1">
      <alignment horizontal="right"/>
    </xf>
    <xf numFmtId="44" fontId="59" fillId="47" borderId="0" xfId="169" applyFont="1" applyFill="1" applyBorder="1" applyAlignment="1">
      <alignment horizontal="center"/>
    </xf>
    <xf numFmtId="10" fontId="59" fillId="47" borderId="0" xfId="169" applyNumberFormat="1" applyFont="1" applyFill="1" applyBorder="1" applyAlignment="1">
      <alignment horizontal="right"/>
    </xf>
    <xf numFmtId="192" fontId="9" fillId="2" borderId="0" xfId="169" applyNumberFormat="1" applyFont="1" applyFill="1" applyAlignment="1">
      <alignment vertical="top"/>
    </xf>
    <xf numFmtId="0" fontId="59" fillId="2" borderId="0" xfId="170" applyFont="1" applyFill="1">
      <alignment vertical="top"/>
    </xf>
    <xf numFmtId="192" fontId="59" fillId="2" borderId="0" xfId="169" applyNumberFormat="1" applyFont="1" applyFill="1" applyAlignment="1">
      <alignment vertical="top"/>
    </xf>
    <xf numFmtId="0" fontId="40" fillId="2" borderId="0" xfId="170" applyFont="1" applyFill="1">
      <alignment vertical="top"/>
    </xf>
    <xf numFmtId="0" fontId="40" fillId="2" borderId="19" xfId="170" applyFont="1" applyFill="1" applyBorder="1">
      <alignment vertical="top"/>
    </xf>
    <xf numFmtId="192" fontId="40" fillId="2" borderId="19" xfId="169" applyNumberFormat="1" applyFont="1" applyFill="1" applyBorder="1" applyAlignment="1">
      <alignment vertical="top"/>
    </xf>
    <xf numFmtId="0" fontId="59" fillId="2" borderId="0" xfId="170" applyFont="1" applyFill="1" applyAlignment="1">
      <alignment horizontal="left" vertical="top" indent="1"/>
    </xf>
    <xf numFmtId="0" fontId="59" fillId="2" borderId="21" xfId="170" applyFont="1" applyFill="1" applyBorder="1">
      <alignment vertical="top"/>
    </xf>
    <xf numFmtId="192" fontId="59" fillId="2" borderId="21" xfId="169" applyNumberFormat="1" applyFont="1" applyFill="1" applyBorder="1" applyAlignment="1">
      <alignment vertical="top"/>
    </xf>
    <xf numFmtId="0" fontId="59" fillId="2" borderId="0" xfId="170" applyFont="1" applyFill="1" applyBorder="1" applyAlignment="1">
      <alignment horizontal="left" vertical="top" indent="1"/>
    </xf>
    <xf numFmtId="192" fontId="9" fillId="2" borderId="0" xfId="170" applyNumberFormat="1" applyFill="1">
      <alignment vertical="top"/>
    </xf>
    <xf numFmtId="0" fontId="40" fillId="2" borderId="21" xfId="170" applyFont="1" applyFill="1" applyBorder="1">
      <alignment vertical="top"/>
    </xf>
    <xf numFmtId="192" fontId="40" fillId="2" borderId="21" xfId="169" applyNumberFormat="1" applyFont="1" applyFill="1" applyBorder="1" applyAlignment="1">
      <alignment vertical="top"/>
    </xf>
    <xf numFmtId="44" fontId="59" fillId="2" borderId="0" xfId="169" applyFont="1" applyFill="1" applyAlignment="1">
      <alignment vertical="top"/>
    </xf>
    <xf numFmtId="192" fontId="92" fillId="2" borderId="0" xfId="169" applyNumberFormat="1" applyFont="1" applyFill="1" applyAlignment="1">
      <alignment vertical="top"/>
    </xf>
    <xf numFmtId="192" fontId="92" fillId="2" borderId="0" xfId="169" applyNumberFormat="1" applyFont="1" applyFill="1" applyBorder="1" applyAlignment="1">
      <alignment vertical="top"/>
    </xf>
    <xf numFmtId="0" fontId="59" fillId="0" borderId="21" xfId="170" applyFont="1" applyBorder="1">
      <alignment vertical="top"/>
    </xf>
    <xf numFmtId="0" fontId="65" fillId="2" borderId="0" xfId="170" applyFont="1" applyFill="1" applyAlignment="1">
      <alignment horizontal="left" vertical="top"/>
    </xf>
    <xf numFmtId="0" fontId="65" fillId="2" borderId="0" xfId="170" applyFont="1" applyFill="1">
      <alignment vertical="top"/>
    </xf>
    <xf numFmtId="44" fontId="93" fillId="2" borderId="0" xfId="169" applyFont="1" applyFill="1" applyAlignment="1">
      <alignment vertical="top"/>
    </xf>
    <xf numFmtId="178" fontId="93" fillId="2" borderId="0" xfId="170" applyNumberFormat="1" applyFont="1" applyFill="1">
      <alignment vertical="top"/>
    </xf>
    <xf numFmtId="0" fontId="93" fillId="2" borderId="0" xfId="170" applyFont="1" applyFill="1">
      <alignment vertical="top"/>
    </xf>
    <xf numFmtId="0" fontId="88" fillId="2" borderId="0" xfId="170" applyFont="1" applyFill="1">
      <alignment vertical="top"/>
    </xf>
    <xf numFmtId="192" fontId="88" fillId="2" borderId="0" xfId="169" applyNumberFormat="1" applyFont="1" applyFill="1" applyAlignment="1">
      <alignment vertical="top"/>
    </xf>
    <xf numFmtId="44" fontId="88" fillId="2" borderId="0" xfId="169" applyFont="1" applyFill="1" applyAlignment="1">
      <alignment vertical="top"/>
    </xf>
    <xf numFmtId="197" fontId="40" fillId="48" borderId="13" xfId="0" applyNumberFormat="1" applyFont="1" applyFill="1" applyBorder="1" applyAlignment="1"/>
    <xf numFmtId="198" fontId="9" fillId="2" borderId="0" xfId="170" applyNumberFormat="1" applyFill="1">
      <alignment vertical="top"/>
    </xf>
    <xf numFmtId="192" fontId="40" fillId="2" borderId="0" xfId="169" applyNumberFormat="1" applyFont="1" applyFill="1" applyAlignment="1">
      <alignment horizontal="right" vertical="top"/>
    </xf>
    <xf numFmtId="192" fontId="59" fillId="2" borderId="0" xfId="169" applyNumberFormat="1" applyFont="1" applyFill="1" applyAlignment="1">
      <alignment horizontal="right" vertical="top"/>
    </xf>
    <xf numFmtId="0" fontId="59" fillId="2" borderId="0" xfId="170" applyFont="1" applyFill="1" applyAlignment="1">
      <alignment horizontal="right" vertical="top"/>
    </xf>
    <xf numFmtId="192" fontId="40" fillId="2" borderId="19" xfId="169" applyNumberFormat="1" applyFont="1" applyFill="1" applyBorder="1" applyAlignment="1">
      <alignment horizontal="right" vertical="top"/>
    </xf>
    <xf numFmtId="0" fontId="9" fillId="2" borderId="0" xfId="170" applyFont="1" applyFill="1" applyAlignment="1">
      <alignment horizontal="right" vertical="top"/>
    </xf>
    <xf numFmtId="0" fontId="9" fillId="2" borderId="0" xfId="170" applyFill="1" applyAlignment="1">
      <alignment horizontal="right" vertical="top"/>
    </xf>
    <xf numFmtId="44" fontId="59" fillId="2" borderId="0" xfId="169" applyFont="1" applyFill="1" applyAlignment="1">
      <alignment horizontal="right" vertical="top"/>
    </xf>
    <xf numFmtId="192" fontId="40" fillId="2" borderId="21" xfId="169" applyNumberFormat="1" applyFont="1" applyFill="1" applyBorder="1" applyAlignment="1">
      <alignment horizontal="right" vertical="top"/>
    </xf>
    <xf numFmtId="0" fontId="1" fillId="2" borderId="0" xfId="0" applyFont="1" applyFill="1" applyBorder="1" applyAlignment="1">
      <alignment horizontal="left" vertical="center" indent="1"/>
    </xf>
    <xf numFmtId="10" fontId="59" fillId="2" borderId="0" xfId="2" applyNumberFormat="1" applyFont="1" applyFill="1" applyBorder="1" applyAlignment="1">
      <alignment horizontal="right" vertical="center"/>
    </xf>
    <xf numFmtId="188" fontId="63" fillId="2" borderId="0" xfId="0" applyNumberFormat="1" applyFont="1" applyFill="1" applyBorder="1"/>
    <xf numFmtId="165" fontId="93" fillId="2" borderId="0" xfId="0" applyNumberFormat="1" applyFont="1" applyFill="1" applyBorder="1" applyAlignment="1">
      <alignment horizontal="right"/>
    </xf>
    <xf numFmtId="9" fontId="40" fillId="2" borderId="21" xfId="2" quotePrefix="1" applyFont="1" applyFill="1" applyBorder="1"/>
    <xf numFmtId="9" fontId="59" fillId="2" borderId="0" xfId="2" quotePrefix="1" applyFont="1" applyFill="1" applyBorder="1"/>
    <xf numFmtId="10" fontId="59" fillId="2" borderId="0" xfId="169" applyNumberFormat="1" applyFont="1" applyFill="1" applyBorder="1"/>
    <xf numFmtId="2" fontId="59" fillId="2" borderId="0" xfId="169" applyNumberFormat="1" applyFont="1" applyFill="1" applyBorder="1"/>
    <xf numFmtId="1" fontId="40" fillId="2" borderId="0" xfId="0" applyNumberFormat="1" applyFont="1" applyFill="1" applyBorder="1" applyAlignment="1">
      <alignment horizontal="right"/>
    </xf>
    <xf numFmtId="192" fontId="63" fillId="2" borderId="0" xfId="169" applyNumberFormat="1" applyFont="1" applyFill="1" applyBorder="1" applyAlignment="1">
      <alignment horizontal="right"/>
    </xf>
    <xf numFmtId="1" fontId="1" fillId="2" borderId="0" xfId="0" applyNumberFormat="1" applyFont="1" applyFill="1" applyBorder="1" applyAlignment="1">
      <alignment horizontal="right"/>
    </xf>
    <xf numFmtId="192" fontId="1" fillId="2" borderId="0" xfId="169" applyNumberFormat="1" applyFont="1" applyFill="1" applyBorder="1" applyAlignment="1">
      <alignment horizontal="right"/>
    </xf>
    <xf numFmtId="1" fontId="59" fillId="2" borderId="0" xfId="0" applyNumberFormat="1" applyFont="1" applyFill="1" applyBorder="1" applyAlignment="1">
      <alignment horizontal="right"/>
    </xf>
    <xf numFmtId="1" fontId="2" fillId="2" borderId="21" xfId="0" applyNumberFormat="1" applyFont="1" applyFill="1" applyBorder="1" applyAlignment="1">
      <alignment horizontal="right"/>
    </xf>
    <xf numFmtId="194" fontId="40" fillId="48" borderId="13" xfId="0" applyNumberFormat="1" applyFont="1" applyFill="1" applyBorder="1" applyAlignment="1">
      <alignment horizontal="right"/>
    </xf>
    <xf numFmtId="1" fontId="2" fillId="2" borderId="19" xfId="0" applyNumberFormat="1" applyFont="1" applyFill="1" applyBorder="1" applyAlignment="1">
      <alignment horizontal="right"/>
    </xf>
    <xf numFmtId="192" fontId="2" fillId="2" borderId="19" xfId="169" applyNumberFormat="1" applyFont="1" applyFill="1" applyBorder="1" applyAlignment="1">
      <alignment horizontal="right"/>
    </xf>
    <xf numFmtId="1" fontId="40" fillId="48" borderId="0" xfId="0" applyNumberFormat="1" applyFont="1" applyFill="1" applyBorder="1" applyAlignment="1">
      <alignment horizontal="right"/>
    </xf>
    <xf numFmtId="10" fontId="40" fillId="48" borderId="0" xfId="2" applyNumberFormat="1" applyFont="1" applyFill="1"/>
    <xf numFmtId="165" fontId="40" fillId="48" borderId="0" xfId="0" applyNumberFormat="1" applyFont="1" applyFill="1" applyBorder="1" applyAlignment="1"/>
    <xf numFmtId="164" fontId="64" fillId="2" borderId="21" xfId="0" applyNumberFormat="1" applyFont="1" applyFill="1" applyBorder="1" applyAlignment="1">
      <alignment horizontal="left"/>
    </xf>
    <xf numFmtId="1" fontId="1" fillId="2" borderId="0" xfId="0" applyNumberFormat="1" applyFont="1" applyFill="1" applyBorder="1" applyAlignment="1">
      <alignment horizontal="left"/>
    </xf>
    <xf numFmtId="178" fontId="63" fillId="2" borderId="0" xfId="2" applyNumberFormat="1" applyFont="1" applyFill="1"/>
    <xf numFmtId="0" fontId="90" fillId="2" borderId="0" xfId="167" applyFont="1" applyFill="1" applyAlignment="1">
      <alignment vertical="top"/>
    </xf>
    <xf numFmtId="192" fontId="93" fillId="2" borderId="0" xfId="169" applyNumberFormat="1" applyFont="1" applyFill="1" applyBorder="1"/>
    <xf numFmtId="191" fontId="93" fillId="2" borderId="0" xfId="169" applyNumberFormat="1" applyFont="1" applyFill="1" applyBorder="1" applyAlignment="1">
      <alignment horizontal="right"/>
    </xf>
    <xf numFmtId="192" fontId="93" fillId="2" borderId="0" xfId="2" applyNumberFormat="1" applyFont="1" applyFill="1" applyBorder="1" applyAlignment="1">
      <alignment horizontal="right"/>
    </xf>
    <xf numFmtId="191" fontId="2" fillId="2" borderId="0" xfId="169" applyNumberFormat="1" applyFont="1" applyFill="1" applyBorder="1" applyAlignment="1">
      <alignment horizontal="right"/>
    </xf>
    <xf numFmtId="0" fontId="89" fillId="49" borderId="0" xfId="167" applyFont="1" applyFill="1" applyAlignment="1">
      <alignment horizontal="center" vertical="top"/>
    </xf>
    <xf numFmtId="165" fontId="63" fillId="2" borderId="0" xfId="0" applyNumberFormat="1" applyFont="1" applyFill="1" applyBorder="1" applyAlignment="1">
      <alignment horizontal="left"/>
    </xf>
    <xf numFmtId="178" fontId="59" fillId="2" borderId="0" xfId="170" applyNumberFormat="1" applyFont="1" applyFill="1">
      <alignment vertical="top"/>
    </xf>
    <xf numFmtId="0" fontId="9" fillId="2" borderId="0" xfId="170" applyFill="1" applyAlignment="1">
      <alignment horizontal="left" vertical="top" indent="1"/>
    </xf>
    <xf numFmtId="0" fontId="59" fillId="2" borderId="19" xfId="170" applyFont="1" applyFill="1" applyBorder="1">
      <alignment vertical="top"/>
    </xf>
    <xf numFmtId="192" fontId="59" fillId="2" borderId="19" xfId="169" applyNumberFormat="1" applyFont="1" applyFill="1" applyBorder="1" applyAlignment="1">
      <alignment vertical="top"/>
    </xf>
    <xf numFmtId="10" fontId="9" fillId="2" borderId="0" xfId="2" applyNumberFormat="1" applyFont="1" applyFill="1" applyAlignment="1">
      <alignment vertical="top"/>
    </xf>
    <xf numFmtId="164" fontId="8" fillId="48" borderId="13" xfId="0" applyNumberFormat="1" applyFont="1" applyFill="1" applyBorder="1" applyAlignment="1">
      <alignment horizontal="right"/>
    </xf>
    <xf numFmtId="164" fontId="65" fillId="48" borderId="13" xfId="0" applyNumberFormat="1" applyFont="1" applyFill="1" applyBorder="1" applyAlignment="1">
      <alignment horizontal="right"/>
    </xf>
    <xf numFmtId="9" fontId="63" fillId="2" borderId="0" xfId="2" applyFont="1" applyFill="1"/>
    <xf numFmtId="9" fontId="63" fillId="2" borderId="21" xfId="2" applyFont="1" applyFill="1" applyBorder="1"/>
    <xf numFmtId="10" fontId="63" fillId="2" borderId="21" xfId="2" applyNumberFormat="1" applyFont="1" applyFill="1" applyBorder="1"/>
    <xf numFmtId="192" fontId="63" fillId="2" borderId="21" xfId="169" applyNumberFormat="1" applyFont="1" applyFill="1" applyBorder="1"/>
    <xf numFmtId="165" fontId="63" fillId="2" borderId="0" xfId="2" applyNumberFormat="1" applyFont="1" applyFill="1" applyBorder="1" applyAlignment="1">
      <alignment horizontal="right"/>
    </xf>
    <xf numFmtId="0" fontId="63" fillId="2" borderId="0" xfId="2" applyNumberFormat="1" applyFont="1" applyFill="1" applyBorder="1" applyAlignment="1">
      <alignment horizontal="right"/>
    </xf>
    <xf numFmtId="165" fontId="63" fillId="2" borderId="0" xfId="0" applyNumberFormat="1" applyFont="1" applyFill="1" applyAlignment="1">
      <alignment horizontal="right"/>
    </xf>
    <xf numFmtId="3" fontId="1" fillId="2" borderId="0" xfId="0" applyNumberFormat="1" applyFont="1" applyFill="1" applyAlignment="1">
      <alignment horizontal="right"/>
    </xf>
    <xf numFmtId="9" fontId="6" fillId="2" borderId="21" xfId="2" applyNumberFormat="1" applyFont="1" applyFill="1" applyBorder="1" applyAlignment="1">
      <alignment horizontal="right" vertical="center"/>
    </xf>
    <xf numFmtId="164" fontId="63" fillId="46" borderId="0" xfId="0" applyNumberFormat="1" applyFont="1" applyFill="1" applyAlignment="1">
      <alignment horizontal="right"/>
    </xf>
    <xf numFmtId="164" fontId="40" fillId="2" borderId="0" xfId="0" applyNumberFormat="1" applyFont="1" applyFill="1" applyBorder="1" applyAlignment="1">
      <alignment vertical="center"/>
    </xf>
    <xf numFmtId="0" fontId="92" fillId="2" borderId="0" xfId="170" applyFont="1" applyFill="1">
      <alignment vertical="top"/>
    </xf>
    <xf numFmtId="192" fontId="92" fillId="2" borderId="21" xfId="169" applyNumberFormat="1" applyFont="1" applyFill="1" applyBorder="1" applyAlignment="1">
      <alignment vertical="top"/>
    </xf>
    <xf numFmtId="166" fontId="63" fillId="2" borderId="0" xfId="2" applyNumberFormat="1" applyFont="1" applyFill="1" applyBorder="1" applyAlignment="1">
      <alignment horizontal="right"/>
    </xf>
    <xf numFmtId="166" fontId="65" fillId="2" borderId="0" xfId="2" applyNumberFormat="1" applyFont="1" applyFill="1" applyBorder="1" applyAlignment="1">
      <alignment horizontal="right" wrapText="1"/>
    </xf>
    <xf numFmtId="166" fontId="63" fillId="46" borderId="0" xfId="2" applyNumberFormat="1" applyFont="1" applyFill="1" applyBorder="1" applyAlignment="1">
      <alignment horizontal="right"/>
    </xf>
    <xf numFmtId="166" fontId="63" fillId="2" borderId="0" xfId="2" applyNumberFormat="1" applyFont="1" applyFill="1" applyBorder="1" applyAlignment="1">
      <alignment horizontal="right" wrapText="1"/>
    </xf>
    <xf numFmtId="177" fontId="63" fillId="2" borderId="0" xfId="2" applyNumberFormat="1" applyFont="1" applyFill="1"/>
    <xf numFmtId="165" fontId="1" fillId="2" borderId="19" xfId="0" applyNumberFormat="1" applyFont="1" applyFill="1" applyBorder="1"/>
    <xf numFmtId="44" fontId="98" fillId="2" borderId="0" xfId="169" applyNumberFormat="1" applyFont="1" applyFill="1"/>
    <xf numFmtId="44" fontId="98" fillId="2" borderId="0" xfId="169" applyNumberFormat="1" applyFont="1" applyFill="1" applyBorder="1" applyAlignment="1">
      <alignment horizontal="left" vertical="center"/>
    </xf>
    <xf numFmtId="44" fontId="59" fillId="2" borderId="0" xfId="169" applyNumberFormat="1" applyFont="1" applyFill="1"/>
    <xf numFmtId="10" fontId="63" fillId="48" borderId="0" xfId="2" applyNumberFormat="1" applyFont="1" applyFill="1"/>
    <xf numFmtId="2" fontId="63" fillId="48" borderId="0" xfId="2" applyNumberFormat="1" applyFont="1" applyFill="1"/>
    <xf numFmtId="0" fontId="84" fillId="2" borderId="13" xfId="170" applyFont="1" applyFill="1" applyBorder="1" applyAlignment="1">
      <alignment horizontal="right" vertical="top"/>
    </xf>
    <xf numFmtId="0" fontId="90" fillId="49" borderId="0" xfId="167" applyFont="1" applyFill="1" applyAlignment="1">
      <alignment horizontal="center" vertical="top"/>
    </xf>
    <xf numFmtId="183" fontId="81" fillId="48" borderId="0" xfId="167" applyNumberFormat="1" applyFont="1" applyFill="1" applyAlignment="1">
      <alignment horizontal="center" vertical="center"/>
    </xf>
    <xf numFmtId="0" fontId="89" fillId="49" borderId="0" xfId="167" applyFont="1" applyFill="1" applyAlignment="1">
      <alignment horizontal="center" vertical="top"/>
    </xf>
    <xf numFmtId="184" fontId="81" fillId="48" borderId="0" xfId="167" applyNumberFormat="1" applyFont="1" applyFill="1" applyAlignment="1">
      <alignment horizontal="center" vertical="center"/>
    </xf>
    <xf numFmtId="164" fontId="40" fillId="48" borderId="25" xfId="0" applyNumberFormat="1" applyFont="1" applyFill="1" applyBorder="1" applyAlignment="1">
      <alignment horizontal="center"/>
    </xf>
    <xf numFmtId="164" fontId="40" fillId="48" borderId="21" xfId="0" applyNumberFormat="1" applyFont="1" applyFill="1" applyBorder="1" applyAlignment="1">
      <alignment horizontal="center"/>
    </xf>
    <xf numFmtId="164" fontId="40" fillId="48" borderId="22" xfId="0" applyNumberFormat="1" applyFont="1" applyFill="1" applyBorder="1" applyAlignment="1">
      <alignment horizontal="center"/>
    </xf>
  </cellXfs>
  <cellStyles count="171">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 6 2" xfId="170"/>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0039A6"/>
      <color rgb="FFB9D0FF"/>
      <color rgb="FFF9D1B9"/>
      <color rgb="FFD9E2F3"/>
      <color rgb="FF0432FF"/>
      <color rgb="FFF8F8F8"/>
      <color rgb="FFEB6D20"/>
      <color rgb="FFF29A64"/>
      <color rgb="FFC05310"/>
      <color rgb="FFBC52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'Accounting Adjustments'!$B$5</c:f>
              <c:strCache>
                <c:ptCount val="1"/>
                <c:pt idx="0">
                  <c:v>Revenues</c:v>
                </c:pt>
              </c:strCache>
            </c:strRef>
          </c:tx>
          <c:spPr>
            <a:solidFill>
              <a:srgbClr val="0039A6"/>
            </a:solidFill>
            <a:ln>
              <a:noFill/>
            </a:ln>
            <a:effectLst/>
          </c:spPr>
          <c:invertIfNegative val="0"/>
          <c:cat>
            <c:numRef>
              <c:f>'Accounting Adjustments'!$C$4:$G$4</c:f>
              <c:numCache>
                <c:formatCode>yyyy\A</c:formatCode>
                <c:ptCount val="5"/>
                <c:pt idx="0">
                  <c:v>43101</c:v>
                </c:pt>
                <c:pt idx="1">
                  <c:v>43466</c:v>
                </c:pt>
                <c:pt idx="2">
                  <c:v>43831</c:v>
                </c:pt>
                <c:pt idx="3">
                  <c:v>44197</c:v>
                </c:pt>
                <c:pt idx="4">
                  <c:v>44562</c:v>
                </c:pt>
              </c:numCache>
            </c:numRef>
          </c:cat>
          <c:val>
            <c:numRef>
              <c:f>'Accounting Adjustments'!$C$5:$G$5</c:f>
              <c:numCache>
                <c:formatCode>_("$"* #,##0_);_("$"* \(#,##0\);_("$"* "-"??_);_(@_)</c:formatCode>
                <c:ptCount val="5"/>
                <c:pt idx="0">
                  <c:v>101127</c:v>
                </c:pt>
                <c:pt idx="1">
                  <c:v>76559</c:v>
                </c:pt>
                <c:pt idx="2">
                  <c:v>58158</c:v>
                </c:pt>
                <c:pt idx="3">
                  <c:v>62286</c:v>
                </c:pt>
                <c:pt idx="4">
                  <c:v>66608</c:v>
                </c:pt>
              </c:numCache>
            </c:numRef>
          </c:val>
          <c:extLst>
            <c:ext xmlns:c16="http://schemas.microsoft.com/office/drawing/2014/chart" uri="{C3380CC4-5D6E-409C-BE32-E72D297353CC}">
              <c16:uniqueId val="{00000000-7742-4C88-AB0A-CA4FEAF2F95F}"/>
            </c:ext>
          </c:extLst>
        </c:ser>
        <c:dLbls>
          <c:showLegendKey val="0"/>
          <c:showVal val="0"/>
          <c:showCatName val="0"/>
          <c:showSerName val="0"/>
          <c:showPercent val="0"/>
          <c:showBubbleSize val="0"/>
        </c:dLbls>
        <c:gapWidth val="50"/>
        <c:overlap val="100"/>
        <c:axId val="1880042095"/>
        <c:axId val="1880046255"/>
      </c:barChart>
      <c:dateAx>
        <c:axId val="1880042095"/>
        <c:scaling>
          <c:orientation val="minMax"/>
        </c:scaling>
        <c:delete val="0"/>
        <c:axPos val="b"/>
        <c:numFmt formatCode="yyyy\A"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1880046255"/>
        <c:crosses val="autoZero"/>
        <c:auto val="1"/>
        <c:lblOffset val="100"/>
        <c:baseTimeUnit val="years"/>
      </c:dateAx>
      <c:valAx>
        <c:axId val="1880046255"/>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Catamaran" pitchFamily="2" charset="0"/>
              </a:defRPr>
            </a:pPr>
            <a:endParaRPr lang="en-US"/>
          </a:p>
        </c:txPr>
        <c:crossAx val="1880042095"/>
        <c:crosses val="autoZero"/>
        <c:crossBetween val="between"/>
        <c:majorUnit val="30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39A6"/>
              </a:solidFill>
              <a:ln w="19050">
                <a:solidFill>
                  <a:schemeClr val="lt1"/>
                </a:solidFill>
              </a:ln>
              <a:effectLst/>
            </c:spPr>
            <c:extLst>
              <c:ext xmlns:c16="http://schemas.microsoft.com/office/drawing/2014/chart" uri="{C3380CC4-5D6E-409C-BE32-E72D297353CC}">
                <c16:uniqueId val="{00000001-3CA0-479F-B988-0A55D3BCC3C6}"/>
              </c:ext>
            </c:extLst>
          </c:dPt>
          <c:dPt>
            <c:idx val="1"/>
            <c:bubble3D val="0"/>
            <c:spPr>
              <a:solidFill>
                <a:srgbClr val="B9D0FF"/>
              </a:solidFill>
              <a:ln w="19050">
                <a:solidFill>
                  <a:schemeClr val="lt1"/>
                </a:solidFill>
              </a:ln>
              <a:effectLst/>
            </c:spPr>
            <c:extLst>
              <c:ext xmlns:c16="http://schemas.microsoft.com/office/drawing/2014/chart" uri="{C3380CC4-5D6E-409C-BE32-E72D297353CC}">
                <c16:uniqueId val="{00000003-3CA0-479F-B988-0A55D3BCC3C6}"/>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3CA0-479F-B988-0A55D3BCC3C6}"/>
              </c:ext>
            </c:extLst>
          </c:dPt>
          <c:dLbls>
            <c:spPr>
              <a:solidFill>
                <a:srgbClr val="D9E2F3"/>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ext>
            </c:extLst>
          </c:dLbls>
          <c:cat>
            <c:strRef>
              <c:f>'Corporate Governance'!$E$16:$E$18</c:f>
              <c:strCache>
                <c:ptCount val="3"/>
                <c:pt idx="0">
                  <c:v>Institutional</c:v>
                </c:pt>
                <c:pt idx="1">
                  <c:v>Insider</c:v>
                </c:pt>
                <c:pt idx="2">
                  <c:v>Retail</c:v>
                </c:pt>
              </c:strCache>
            </c:strRef>
          </c:cat>
          <c:val>
            <c:numRef>
              <c:f>'Corporate Governance'!$F$16:$F$18</c:f>
              <c:numCache>
                <c:formatCode>0%</c:formatCode>
                <c:ptCount val="3"/>
                <c:pt idx="0">
                  <c:v>0.5877</c:v>
                </c:pt>
                <c:pt idx="1">
                  <c:v>1.34E-2</c:v>
                </c:pt>
                <c:pt idx="2">
                  <c:v>0.39889999999999998</c:v>
                </c:pt>
              </c:numCache>
            </c:numRef>
          </c:val>
          <c:extLst>
            <c:ext xmlns:c16="http://schemas.microsoft.com/office/drawing/2014/chart" uri="{C3380CC4-5D6E-409C-BE32-E72D297353CC}">
              <c16:uniqueId val="{00000006-3CA0-479F-B988-0A55D3BCC3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71391076115486E-3"/>
          <c:y val="0"/>
          <c:w val="0.98439842892086105"/>
          <c:h val="0.86291331885266609"/>
        </c:manualLayout>
      </c:layout>
      <c:barChart>
        <c:barDir val="col"/>
        <c:grouping val="stacked"/>
        <c:varyColors val="0"/>
        <c:ser>
          <c:idx val="0"/>
          <c:order val="0"/>
          <c:tx>
            <c:strRef>
              <c:f>'Corporate Governance'!$E$22</c:f>
              <c:strCache>
                <c:ptCount val="1"/>
                <c:pt idx="0">
                  <c:v>Audit</c:v>
                </c:pt>
              </c:strCache>
            </c:strRef>
          </c:tx>
          <c:spPr>
            <a:solidFill>
              <a:srgbClr val="D9E2F3"/>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Governance'!$F$22</c:f>
              <c:numCache>
                <c:formatCode>_(* #,##0.0_);_(* \(#,##0.0\);_(* "-"?_);@_)</c:formatCode>
                <c:ptCount val="1"/>
                <c:pt idx="0">
                  <c:v>4</c:v>
                </c:pt>
              </c:numCache>
            </c:numRef>
          </c:val>
          <c:extLst>
            <c:ext xmlns:c16="http://schemas.microsoft.com/office/drawing/2014/chart" uri="{C3380CC4-5D6E-409C-BE32-E72D297353CC}">
              <c16:uniqueId val="{00000000-1C27-4A4A-BF09-DEEC91878B14}"/>
            </c:ext>
          </c:extLst>
        </c:ser>
        <c:ser>
          <c:idx val="1"/>
          <c:order val="1"/>
          <c:tx>
            <c:strRef>
              <c:f>'Corporate Governance'!$E$23</c:f>
              <c:strCache>
                <c:ptCount val="1"/>
                <c:pt idx="0">
                  <c:v>Board</c:v>
                </c:pt>
              </c:strCache>
            </c:strRef>
          </c:tx>
          <c:spPr>
            <a:solidFill>
              <a:schemeClr val="accent1"/>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Governance'!$F$23</c:f>
              <c:numCache>
                <c:formatCode>_(* #,##0.0_);_(* \(#,##0.0\);_(* "-"?_);@_)</c:formatCode>
                <c:ptCount val="1"/>
                <c:pt idx="0">
                  <c:v>2</c:v>
                </c:pt>
              </c:numCache>
            </c:numRef>
          </c:val>
          <c:extLst>
            <c:ext xmlns:c16="http://schemas.microsoft.com/office/drawing/2014/chart" uri="{C3380CC4-5D6E-409C-BE32-E72D297353CC}">
              <c16:uniqueId val="{00000001-1C27-4A4A-BF09-DEEC91878B14}"/>
            </c:ext>
          </c:extLst>
        </c:ser>
        <c:ser>
          <c:idx val="2"/>
          <c:order val="2"/>
          <c:tx>
            <c:strRef>
              <c:f>'Corporate Governance'!$E$24</c:f>
              <c:strCache>
                <c:ptCount val="1"/>
                <c:pt idx="0">
                  <c:v>Shareholder Rights</c:v>
                </c:pt>
              </c:strCache>
            </c:strRef>
          </c:tx>
          <c:spPr>
            <a:solidFill>
              <a:srgbClr val="B9D0FF"/>
            </a:solidFill>
            <a:ln>
              <a:noFill/>
            </a:ln>
            <a:effectLst/>
          </c:spPr>
          <c:invertIfNegative val="0"/>
          <c:dLbls>
            <c:dLbl>
              <c:idx val="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1794-4C8C-A399-65DE06B4850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Governance'!$F$24</c:f>
              <c:numCache>
                <c:formatCode>_(* #,##0.0_);_(* \(#,##0.0\);_(* "-"?_);@_)</c:formatCode>
                <c:ptCount val="1"/>
                <c:pt idx="0">
                  <c:v>5</c:v>
                </c:pt>
              </c:numCache>
            </c:numRef>
          </c:val>
          <c:extLst>
            <c:ext xmlns:c16="http://schemas.microsoft.com/office/drawing/2014/chart" uri="{C3380CC4-5D6E-409C-BE32-E72D297353CC}">
              <c16:uniqueId val="{00000002-1C27-4A4A-BF09-DEEC91878B14}"/>
            </c:ext>
          </c:extLst>
        </c:ser>
        <c:ser>
          <c:idx val="3"/>
          <c:order val="3"/>
          <c:tx>
            <c:strRef>
              <c:f>'Corporate Governance'!$E$25</c:f>
              <c:strCache>
                <c:ptCount val="1"/>
                <c:pt idx="0">
                  <c:v>Compensation</c:v>
                </c:pt>
              </c:strCache>
            </c:strRef>
          </c:tx>
          <c:spPr>
            <a:solidFill>
              <a:srgbClr val="0039A6"/>
            </a:solidFill>
            <a:ln>
              <a:noFill/>
            </a:ln>
            <a:effectLst/>
          </c:spPr>
          <c:invertIfNegative val="0"/>
          <c:dLbls>
            <c:dLbl>
              <c:idx val="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1794-4C8C-A399-65DE06B4850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Governance'!$F$25</c:f>
              <c:numCache>
                <c:formatCode>_(* #,##0.0_);_(* \(#,##0.0\);_(* "-"?_);@_)</c:formatCode>
                <c:ptCount val="1"/>
                <c:pt idx="0">
                  <c:v>9</c:v>
                </c:pt>
              </c:numCache>
            </c:numRef>
          </c:val>
          <c:extLst>
            <c:ext xmlns:c16="http://schemas.microsoft.com/office/drawing/2014/chart" uri="{C3380CC4-5D6E-409C-BE32-E72D297353CC}">
              <c16:uniqueId val="{00000003-1C27-4A4A-BF09-DEEC91878B14}"/>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tx>
            <c:strRef>
              <c:f>'Risk Free Rate &amp; ERP'!$B$12:$B$19</c:f>
              <c:strCache>
                <c:ptCount val="8"/>
                <c:pt idx="0">
                  <c:v>United States</c:v>
                </c:pt>
                <c:pt idx="1">
                  <c:v>Asia</c:v>
                </c:pt>
                <c:pt idx="2">
                  <c:v>Europe</c:v>
                </c:pt>
                <c:pt idx="3">
                  <c:v>Middle East</c:v>
                </c:pt>
                <c:pt idx="4">
                  <c:v>Canada</c:v>
                </c:pt>
                <c:pt idx="5">
                  <c:v>Oceania</c:v>
                </c:pt>
                <c:pt idx="6">
                  <c:v>Africa</c:v>
                </c:pt>
                <c:pt idx="7">
                  <c:v>Latin America, Caribbean</c:v>
                </c:pt>
              </c:strCache>
            </c:strRef>
          </c:tx>
          <c:dPt>
            <c:idx val="0"/>
            <c:bubble3D val="0"/>
            <c:spPr>
              <a:solidFill>
                <a:srgbClr val="0039A6"/>
              </a:solidFill>
              <a:ln w="19050">
                <a:solidFill>
                  <a:schemeClr val="lt1"/>
                </a:solidFill>
              </a:ln>
              <a:effectLst/>
            </c:spPr>
            <c:extLst>
              <c:ext xmlns:c16="http://schemas.microsoft.com/office/drawing/2014/chart" uri="{C3380CC4-5D6E-409C-BE32-E72D297353CC}">
                <c16:uniqueId val="{00000001-74C7-4B28-A7F2-3ECA4184126F}"/>
              </c:ext>
            </c:extLst>
          </c:dPt>
          <c:dPt>
            <c:idx val="1"/>
            <c:bubble3D val="0"/>
            <c:spPr>
              <a:solidFill>
                <a:srgbClr val="D9E2F3"/>
              </a:solidFill>
              <a:ln w="19050">
                <a:solidFill>
                  <a:schemeClr val="lt1"/>
                </a:solidFill>
              </a:ln>
              <a:effectLst/>
            </c:spPr>
            <c:extLst>
              <c:ext xmlns:c16="http://schemas.microsoft.com/office/drawing/2014/chart" uri="{C3380CC4-5D6E-409C-BE32-E72D297353CC}">
                <c16:uniqueId val="{00000003-74C7-4B28-A7F2-3ECA4184126F}"/>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74C7-4B28-A7F2-3ECA4184126F}"/>
              </c:ext>
            </c:extLst>
          </c:dPt>
          <c:dPt>
            <c:idx val="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7-74C7-4B28-A7F2-3ECA4184126F}"/>
              </c:ext>
            </c:extLst>
          </c:dPt>
          <c:dPt>
            <c:idx val="4"/>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9-74C7-4B28-A7F2-3ECA4184126F}"/>
              </c:ext>
            </c:extLst>
          </c:dPt>
          <c:dPt>
            <c:idx val="5"/>
            <c:bubble3D val="0"/>
            <c:spPr>
              <a:solidFill>
                <a:srgbClr val="B9D0FF"/>
              </a:solidFill>
              <a:ln w="19050">
                <a:solidFill>
                  <a:schemeClr val="lt1"/>
                </a:solidFill>
              </a:ln>
              <a:effectLst/>
            </c:spPr>
            <c:extLst>
              <c:ext xmlns:c16="http://schemas.microsoft.com/office/drawing/2014/chart" uri="{C3380CC4-5D6E-409C-BE32-E72D297353CC}">
                <c16:uniqueId val="{0000000B-74C7-4B28-A7F2-3ECA4184126F}"/>
              </c:ext>
            </c:extLst>
          </c:dPt>
          <c:dPt>
            <c:idx val="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D-74C7-4B28-A7F2-3ECA4184126F}"/>
              </c:ext>
            </c:extLst>
          </c:dPt>
          <c:dPt>
            <c:idx val="7"/>
            <c:bubble3D val="0"/>
            <c:spPr>
              <a:solidFill>
                <a:schemeClr val="accent1"/>
              </a:solidFill>
              <a:ln w="19050">
                <a:solidFill>
                  <a:schemeClr val="lt1"/>
                </a:solidFill>
              </a:ln>
              <a:effectLst/>
            </c:spPr>
            <c:extLst>
              <c:ext xmlns:c16="http://schemas.microsoft.com/office/drawing/2014/chart" uri="{C3380CC4-5D6E-409C-BE32-E72D297353CC}">
                <c16:uniqueId val="{0000000F-74C7-4B28-A7F2-3ECA4184126F}"/>
              </c:ext>
            </c:extLst>
          </c:dPt>
          <c:dPt>
            <c:idx val="8"/>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1-74C7-4B28-A7F2-3ECA4184126F}"/>
              </c:ext>
            </c:extLst>
          </c:dPt>
          <c:dPt>
            <c:idx val="9"/>
            <c:bubble3D val="0"/>
            <c:spPr>
              <a:solidFill>
                <a:srgbClr val="FFC000"/>
              </a:solidFill>
              <a:ln w="19050">
                <a:solidFill>
                  <a:schemeClr val="lt1"/>
                </a:solidFill>
              </a:ln>
              <a:effectLst/>
            </c:spPr>
            <c:extLst>
              <c:ext xmlns:c16="http://schemas.microsoft.com/office/drawing/2014/chart" uri="{C3380CC4-5D6E-409C-BE32-E72D297353CC}">
                <c16:uniqueId val="{00000013-74C7-4B28-A7F2-3ECA4184126F}"/>
              </c:ext>
            </c:extLst>
          </c:dPt>
          <c:dLbls>
            <c:dLbl>
              <c:idx val="0"/>
              <c:layout/>
              <c:tx>
                <c:rich>
                  <a:bodyPr/>
                  <a:lstStyle/>
                  <a:p>
                    <a:fld id="{02DCAFD7-3DA4-4809-9167-5D5834DBD4C4}" type="CELLRANGE">
                      <a:rPr lang="en-US"/>
                      <a:pPr/>
                      <a:t>[CELLRANGE]</a:t>
                    </a:fld>
                    <a:r>
                      <a:rPr lang="en-US" baseline="0"/>
                      <a:t>, </a:t>
                    </a:r>
                    <a:fld id="{D2594FF8-904C-4D33-A39F-52609707A733}" type="PERCENTAGE">
                      <a:rPr lang="en-US" baseline="0"/>
                      <a:pPr/>
                      <a:t>[PERCENTAGE]</a:t>
                    </a:fld>
                    <a:endParaRPr lang="en-US" baseline="0"/>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74C7-4B28-A7F2-3ECA4184126F}"/>
                </c:ext>
              </c:extLst>
            </c:dLbl>
            <c:dLbl>
              <c:idx val="1"/>
              <c:layout/>
              <c:tx>
                <c:rich>
                  <a:bodyPr/>
                  <a:lstStyle/>
                  <a:p>
                    <a:fld id="{E31F54CC-16F9-4610-8189-A4217C189481}" type="CELLRANGE">
                      <a:rPr lang="en-US"/>
                      <a:pPr/>
                      <a:t>[CELLRANGE]</a:t>
                    </a:fld>
                    <a:r>
                      <a:rPr lang="en-US" baseline="0"/>
                      <a:t>, </a:t>
                    </a:r>
                    <a:fld id="{5B4BC108-5199-490A-9A33-EED1D837111F}" type="PERCENTAGE">
                      <a:rPr lang="en-US" baseline="0"/>
                      <a:pPr/>
                      <a:t>[PERCENTAGE]</a:t>
                    </a:fld>
                    <a:endParaRPr lang="en-US" baseline="0"/>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74C7-4B28-A7F2-3ECA4184126F}"/>
                </c:ext>
              </c:extLst>
            </c:dLbl>
            <c:dLbl>
              <c:idx val="2"/>
              <c:layout/>
              <c:tx>
                <c:rich>
                  <a:bodyPr/>
                  <a:lstStyle/>
                  <a:p>
                    <a:fld id="{E58732BF-A8AE-4969-AA79-7083A7C78C1E}" type="CELLRANGE">
                      <a:rPr lang="en-US"/>
                      <a:pPr/>
                      <a:t>[CELLRANGE]</a:t>
                    </a:fld>
                    <a:r>
                      <a:rPr lang="en-US" baseline="0"/>
                      <a:t>, </a:t>
                    </a:r>
                    <a:fld id="{73359282-68B3-44E2-A4D0-25B39E10EA3A}" type="PERCENTAGE">
                      <a:rPr lang="en-US" baseline="0"/>
                      <a:pPr/>
                      <a:t>[PERCENTAGE]</a:t>
                    </a:fld>
                    <a:endParaRPr lang="en-US" baseline="0"/>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74C7-4B28-A7F2-3ECA4184126F}"/>
                </c:ext>
              </c:extLst>
            </c:dLbl>
            <c:dLbl>
              <c:idx val="3"/>
              <c:layout/>
              <c:tx>
                <c:rich>
                  <a:bodyPr/>
                  <a:lstStyle/>
                  <a:p>
                    <a:fld id="{119C432F-B784-4093-B9AF-1154B599B584}"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74C7-4B28-A7F2-3ECA4184126F}"/>
                </c:ext>
              </c:extLst>
            </c:dLbl>
            <c:dLbl>
              <c:idx val="4"/>
              <c:layout/>
              <c:tx>
                <c:rich>
                  <a:bodyPr/>
                  <a:lstStyle/>
                  <a:p>
                    <a:fld id="{1A914CD5-184B-46D3-A64D-B50B934878B4}"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74C7-4B28-A7F2-3ECA4184126F}"/>
                </c:ext>
              </c:extLst>
            </c:dLbl>
            <c:dLbl>
              <c:idx val="5"/>
              <c:layout/>
              <c:tx>
                <c:rich>
                  <a:bodyPr/>
                  <a:lstStyle/>
                  <a:p>
                    <a:fld id="{24928017-DD54-4321-9A5B-CFB210D5E2FE}"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B-74C7-4B28-A7F2-3ECA4184126F}"/>
                </c:ext>
              </c:extLst>
            </c:dLbl>
            <c:dLbl>
              <c:idx val="6"/>
              <c:layout/>
              <c:tx>
                <c:rich>
                  <a:bodyPr/>
                  <a:lstStyle/>
                  <a:p>
                    <a:fld id="{4F15DA5A-21F1-46D1-966C-2F4650BB27B1}"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D-74C7-4B28-A7F2-3ECA4184126F}"/>
                </c:ext>
              </c:extLst>
            </c:dLbl>
            <c:dLbl>
              <c:idx val="7"/>
              <c:layout/>
              <c:tx>
                <c:rich>
                  <a:bodyPr/>
                  <a:lstStyle/>
                  <a:p>
                    <a:fld id="{3122F3EE-9B47-4623-BDFB-520BFBA53905}"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F-74C7-4B28-A7F2-3ECA4184126F}"/>
                </c:ext>
              </c:extLst>
            </c:dLbl>
            <c:spPr>
              <a:solidFill>
                <a:srgbClr val="F8F8F8"/>
              </a:solid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15:showDataLabelsRange val="1"/>
              </c:ext>
            </c:extLst>
          </c:dLbls>
          <c:cat>
            <c:strRef>
              <c:f>'Risk Free Rate &amp; ERP'!$B$13:$B$15</c:f>
              <c:strCache>
                <c:ptCount val="3"/>
                <c:pt idx="0">
                  <c:v>Asia</c:v>
                </c:pt>
                <c:pt idx="1">
                  <c:v>Europe</c:v>
                </c:pt>
                <c:pt idx="2">
                  <c:v>Middle East</c:v>
                </c:pt>
              </c:strCache>
            </c:strRef>
          </c:cat>
          <c:val>
            <c:numRef>
              <c:f>'Risk Free Rate &amp; ERP'!$C$12:$C$19</c:f>
              <c:numCache>
                <c:formatCode>_("$"* #,##0_);_("$"* \(#,##0\);_("$"* "-"??_);_(@_)</c:formatCode>
                <c:ptCount val="8"/>
                <c:pt idx="0">
                  <c:v>39234</c:v>
                </c:pt>
                <c:pt idx="1">
                  <c:v>8393</c:v>
                </c:pt>
                <c:pt idx="2">
                  <c:v>7916</c:v>
                </c:pt>
                <c:pt idx="3">
                  <c:v>5047</c:v>
                </c:pt>
                <c:pt idx="4">
                  <c:v>1612</c:v>
                </c:pt>
                <c:pt idx="5">
                  <c:v>1576</c:v>
                </c:pt>
                <c:pt idx="6">
                  <c:v>418</c:v>
                </c:pt>
                <c:pt idx="7">
                  <c:v>2412</c:v>
                </c:pt>
              </c:numCache>
            </c:numRef>
          </c:val>
          <c:extLst>
            <c:ext xmlns:c15="http://schemas.microsoft.com/office/drawing/2012/chart" uri="{02D57815-91ED-43cb-92C2-25804820EDAC}">
              <c15:datalabelsRange>
                <c15:f>'Risk Free Rate &amp; ERP'!$B$13:$B$15</c15:f>
                <c15:dlblRangeCache>
                  <c:ptCount val="3"/>
                  <c:pt idx="0">
                    <c:v>Asia</c:v>
                  </c:pt>
                  <c:pt idx="1">
                    <c:v>Europe</c:v>
                  </c:pt>
                  <c:pt idx="2">
                    <c:v>Middle East</c:v>
                  </c:pt>
                </c15:dlblRangeCache>
              </c15:datalabelsRange>
            </c:ext>
            <c:ext xmlns:c16="http://schemas.microsoft.com/office/drawing/2014/chart" uri="{C3380CC4-5D6E-409C-BE32-E72D297353CC}">
              <c16:uniqueId val="{00000014-74C7-4B28-A7F2-3ECA4184126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'Accounting Adjustments'!$B$42</c:f>
              <c:strCache>
                <c:ptCount val="1"/>
                <c:pt idx="0">
                  <c:v>EBIT Margin %</c:v>
                </c:pt>
              </c:strCache>
            </c:strRef>
          </c:tx>
          <c:spPr>
            <a:solidFill>
              <a:srgbClr val="B9D0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'Accounting Adjustments'!$D$4:$G$4</c:f>
              <c:numCache>
                <c:formatCode>yyyy\A</c:formatCode>
                <c:ptCount val="4"/>
                <c:pt idx="0">
                  <c:v>43466</c:v>
                </c:pt>
                <c:pt idx="1">
                  <c:v>43831</c:v>
                </c:pt>
                <c:pt idx="2">
                  <c:v>44197</c:v>
                </c:pt>
                <c:pt idx="3">
                  <c:v>44562</c:v>
                </c:pt>
              </c:numCache>
            </c:numRef>
          </c:cat>
          <c:val>
            <c:numRef>
              <c:f>'Accounting Adjustments'!$D$42:$G$42</c:f>
              <c:numCache>
                <c:formatCode>0%</c:formatCode>
                <c:ptCount val="4"/>
                <c:pt idx="0">
                  <c:v>-3.542366018364921E-2</c:v>
                </c:pt>
                <c:pt idx="1">
                  <c:v>-0.23635613329206645</c:v>
                </c:pt>
                <c:pt idx="2">
                  <c:v>-6.6274925344379149E-2</c:v>
                </c:pt>
                <c:pt idx="3">
                  <c:v>-5.2369835455200575E-2</c:v>
                </c:pt>
              </c:numCache>
            </c:numRef>
          </c:val>
          <c:extLst>
            <c:ext xmlns:c16="http://schemas.microsoft.com/office/drawing/2014/chart" uri="{C3380CC4-5D6E-409C-BE32-E72D297353CC}">
              <c16:uniqueId val="{00000000-939C-4706-ACAE-7DD4377B791F}"/>
            </c:ext>
          </c:extLst>
        </c:ser>
        <c:ser>
          <c:idx val="1"/>
          <c:order val="1"/>
          <c:tx>
            <c:strRef>
              <c:f>'Accounting Adjustments'!$B$43</c:f>
              <c:strCache>
                <c:ptCount val="1"/>
                <c:pt idx="0">
                  <c:v>Return on Capital %</c:v>
                </c:pt>
              </c:strCache>
            </c:strRef>
          </c:tx>
          <c:spPr>
            <a:solidFill>
              <a:srgbClr val="0039A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'Accounting Adjustments'!$D$4:$G$4</c:f>
              <c:numCache>
                <c:formatCode>yyyy\A</c:formatCode>
                <c:ptCount val="4"/>
                <c:pt idx="0">
                  <c:v>43466</c:v>
                </c:pt>
                <c:pt idx="1">
                  <c:v>43831</c:v>
                </c:pt>
                <c:pt idx="2">
                  <c:v>44197</c:v>
                </c:pt>
                <c:pt idx="3">
                  <c:v>44562</c:v>
                </c:pt>
              </c:numCache>
            </c:numRef>
          </c:cat>
          <c:val>
            <c:numRef>
              <c:f>'Accounting Adjustments'!$D$43:$G$43</c:f>
              <c:numCache>
                <c:formatCode>0%</c:formatCode>
                <c:ptCount val="4"/>
                <c:pt idx="0">
                  <c:v>-6.8984304540452068E-2</c:v>
                </c:pt>
                <c:pt idx="1">
                  <c:v>-0.30398283653492308</c:v>
                </c:pt>
                <c:pt idx="2">
                  <c:v>-8.3790740407133843E-2</c:v>
                </c:pt>
                <c:pt idx="3">
                  <c:v>-8.230366259856689E-2</c:v>
                </c:pt>
              </c:numCache>
            </c:numRef>
          </c:val>
          <c:extLst>
            <c:ext xmlns:c16="http://schemas.microsoft.com/office/drawing/2014/chart" uri="{C3380CC4-5D6E-409C-BE32-E72D297353CC}">
              <c16:uniqueId val="{00000001-939C-4706-ACAE-7DD4377B791F}"/>
            </c:ext>
          </c:extLst>
        </c:ser>
        <c:dLbls>
          <c:showLegendKey val="0"/>
          <c:showVal val="0"/>
          <c:showCatName val="0"/>
          <c:showSerName val="0"/>
          <c:showPercent val="0"/>
          <c:showBubbleSize val="0"/>
        </c:dLbls>
        <c:gapWidth val="219"/>
        <c:overlap val="-27"/>
        <c:axId val="861408064"/>
        <c:axId val="861410144"/>
      </c:barChart>
      <c:dateAx>
        <c:axId val="861408064"/>
        <c:scaling>
          <c:orientation val="minMax"/>
        </c:scaling>
        <c:delete val="0"/>
        <c:axPos val="b"/>
        <c:numFmt formatCode="yyyy\A"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ontserrat" panose="00000500000000000000" pitchFamily="2" charset="0"/>
                <a:ea typeface="+mn-ea"/>
                <a:cs typeface="Arial" panose="020B0604020202020204" pitchFamily="34" charset="0"/>
              </a:defRPr>
            </a:pPr>
            <a:endParaRPr lang="en-US"/>
          </a:p>
        </c:txPr>
        <c:crossAx val="861410144"/>
        <c:crosses val="autoZero"/>
        <c:auto val="1"/>
        <c:lblOffset val="100"/>
        <c:baseTimeUnit val="years"/>
      </c:dateAx>
      <c:valAx>
        <c:axId val="8614101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861408064"/>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Drivers!$I$22</c:f>
              <c:strCache>
                <c:ptCount val="1"/>
                <c:pt idx="0">
                  <c:v>Min</c:v>
                </c:pt>
              </c:strCache>
            </c:strRef>
          </c:tx>
          <c:spPr>
            <a:noFill/>
            <a:ln>
              <a:noFill/>
            </a:ln>
            <a:effectLst/>
          </c:spPr>
          <c:invertIfNegative val="0"/>
          <c:dLbls>
            <c:spPr>
              <a:noFill/>
              <a:ln>
                <a:noFill/>
              </a:ln>
              <a:effectLst/>
            </c:spPr>
            <c:txPr>
              <a:bodyPr rot="0" spcFirstLastPara="1" vertOverflow="overflow" horzOverflow="overflow"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ontserrat SemiBold" panose="00000700000000000000"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Drivers!$H$23:$H$26</c:f>
              <c:strCache>
                <c:ptCount val="4"/>
                <c:pt idx="0">
                  <c:v>52 Week Range</c:v>
                </c:pt>
                <c:pt idx="1">
                  <c:v>Analyst's Range</c:v>
                </c:pt>
                <c:pt idx="2">
                  <c:v>DCF Valuation</c:v>
                </c:pt>
                <c:pt idx="3">
                  <c:v>Precendent - EV/Sales</c:v>
                </c:pt>
              </c:strCache>
            </c:strRef>
          </c:cat>
          <c:val>
            <c:numRef>
              <c:f>Drivers!$I$23:$I$26</c:f>
              <c:numCache>
                <c:formatCode>_("$"* #,##0_);_("$"* \(#,##0\);_("$"* "-"??_);_(@_)</c:formatCode>
                <c:ptCount val="4"/>
                <c:pt idx="0">
                  <c:v>113.02</c:v>
                </c:pt>
                <c:pt idx="1">
                  <c:v>180</c:v>
                </c:pt>
                <c:pt idx="2">
                  <c:v>13.925194039963621</c:v>
                </c:pt>
                <c:pt idx="3">
                  <c:v>111.2727227660215</c:v>
                </c:pt>
              </c:numCache>
            </c:numRef>
          </c:val>
          <c:extLst>
            <c:ext xmlns:c16="http://schemas.microsoft.com/office/drawing/2014/chart" uri="{C3380CC4-5D6E-409C-BE32-E72D297353CC}">
              <c16:uniqueId val="{00000000-BB5D-4FA6-A935-2EF9442B74D5}"/>
            </c:ext>
          </c:extLst>
        </c:ser>
        <c:ser>
          <c:idx val="1"/>
          <c:order val="1"/>
          <c:tx>
            <c:strRef>
              <c:f>Drivers!$J$22</c:f>
              <c:strCache>
                <c:ptCount val="1"/>
                <c:pt idx="0">
                  <c:v>Difference</c:v>
                </c:pt>
              </c:strCache>
            </c:strRef>
          </c:tx>
          <c:spPr>
            <a:solidFill>
              <a:srgbClr val="0039A6"/>
            </a:solidFill>
            <a:ln>
              <a:noFill/>
            </a:ln>
            <a:effectLst/>
          </c:spPr>
          <c:invertIfNegative val="0"/>
          <c:cat>
            <c:strRef>
              <c:f>Drivers!$H$23:$H$26</c:f>
              <c:strCache>
                <c:ptCount val="4"/>
                <c:pt idx="0">
                  <c:v>52 Week Range</c:v>
                </c:pt>
                <c:pt idx="1">
                  <c:v>Analyst's Range</c:v>
                </c:pt>
                <c:pt idx="2">
                  <c:v>DCF Valuation</c:v>
                </c:pt>
                <c:pt idx="3">
                  <c:v>Precendent - EV/Sales</c:v>
                </c:pt>
              </c:strCache>
            </c:strRef>
          </c:cat>
          <c:val>
            <c:numRef>
              <c:f>Drivers!$J$23:$J$26</c:f>
              <c:numCache>
                <c:formatCode>_("$"* #,##0_);_("$"* \(#,##0\);_("$"* "-"??_);_(@_)</c:formatCode>
                <c:ptCount val="4"/>
                <c:pt idx="0">
                  <c:v>108.31000000000002</c:v>
                </c:pt>
                <c:pt idx="1">
                  <c:v>81</c:v>
                </c:pt>
                <c:pt idx="2">
                  <c:v>7.7610842696054796</c:v>
                </c:pt>
                <c:pt idx="3">
                  <c:v>72.777273491343067</c:v>
                </c:pt>
              </c:numCache>
            </c:numRef>
          </c:val>
          <c:extLst>
            <c:ext xmlns:c16="http://schemas.microsoft.com/office/drawing/2014/chart" uri="{C3380CC4-5D6E-409C-BE32-E72D297353CC}">
              <c16:uniqueId val="{00000001-BB5D-4FA6-A935-2EF9442B74D5}"/>
            </c:ext>
          </c:extLst>
        </c:ser>
        <c:ser>
          <c:idx val="2"/>
          <c:order val="2"/>
          <c:tx>
            <c:strRef>
              <c:f>Drivers!$K$22</c:f>
              <c:strCache>
                <c:ptCount val="1"/>
                <c:pt idx="0">
                  <c:v>Max</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ontserrat SemiBold" panose="00000700000000000000" pitchFamily="2"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Drivers!$H$23:$H$26</c:f>
              <c:strCache>
                <c:ptCount val="4"/>
                <c:pt idx="0">
                  <c:v>52 Week Range</c:v>
                </c:pt>
                <c:pt idx="1">
                  <c:v>Analyst's Range</c:v>
                </c:pt>
                <c:pt idx="2">
                  <c:v>DCF Valuation</c:v>
                </c:pt>
                <c:pt idx="3">
                  <c:v>Precendent - EV/Sales</c:v>
                </c:pt>
              </c:strCache>
            </c:strRef>
          </c:cat>
          <c:val>
            <c:numRef>
              <c:f>Drivers!$K$23:$K$26</c:f>
              <c:numCache>
                <c:formatCode>_("$"* #,##0_);_("$"* \(#,##0\);_("$"* "-"??_);_(@_)</c:formatCode>
                <c:ptCount val="4"/>
                <c:pt idx="0">
                  <c:v>221.33</c:v>
                </c:pt>
                <c:pt idx="1">
                  <c:v>261</c:v>
                </c:pt>
                <c:pt idx="2">
                  <c:v>21.686278309569101</c:v>
                </c:pt>
                <c:pt idx="3">
                  <c:v>184.04999625736457</c:v>
                </c:pt>
              </c:numCache>
            </c:numRef>
          </c:val>
          <c:extLst>
            <c:ext xmlns:c16="http://schemas.microsoft.com/office/drawing/2014/chart" uri="{C3380CC4-5D6E-409C-BE32-E72D297353CC}">
              <c16:uniqueId val="{00000002-BB5D-4FA6-A935-2EF9442B74D5}"/>
            </c:ext>
          </c:extLst>
        </c:ser>
        <c:dLbls>
          <c:showLegendKey val="0"/>
          <c:showVal val="0"/>
          <c:showCatName val="0"/>
          <c:showSerName val="0"/>
          <c:showPercent val="0"/>
          <c:showBubbleSize val="0"/>
        </c:dLbls>
        <c:gapWidth val="126"/>
        <c:overlap val="100"/>
        <c:axId val="1932513040"/>
        <c:axId val="1932508880"/>
      </c:barChart>
      <c:catAx>
        <c:axId val="19325130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tamaran" pitchFamily="2" charset="0"/>
                <a:ea typeface="+mn-ea"/>
                <a:cs typeface="Catamaran" pitchFamily="2" charset="0"/>
              </a:defRPr>
            </a:pPr>
            <a:endParaRPr lang="en-US"/>
          </a:p>
        </c:txPr>
        <c:crossAx val="1932508880"/>
        <c:crosses val="autoZero"/>
        <c:auto val="1"/>
        <c:lblAlgn val="ctr"/>
        <c:lblOffset val="100"/>
        <c:noMultiLvlLbl val="0"/>
      </c:catAx>
      <c:valAx>
        <c:axId val="1932508880"/>
        <c:scaling>
          <c:orientation val="minMax"/>
          <c:max val="280"/>
          <c:min val="0"/>
        </c:scaling>
        <c:delete val="1"/>
        <c:axPos val="t"/>
        <c:majorGridlines>
          <c:spPr>
            <a:ln w="9525" cap="flat" cmpd="sng" algn="ctr">
              <a:solidFill>
                <a:schemeClr val="tx1">
                  <a:lumMod val="15000"/>
                  <a:lumOff val="85000"/>
                </a:schemeClr>
              </a:solidFill>
              <a:round/>
            </a:ln>
            <a:effectLst/>
          </c:spPr>
        </c:majorGridlines>
        <c:numFmt formatCode="_(&quot;$&quot;* #,##0.0_);_(&quot;$&quot;* \(#,###\);_(&quot;$&quot;* &quot;-&quot;??_);_(@_)" sourceLinked="0"/>
        <c:majorTickMark val="out"/>
        <c:minorTickMark val="none"/>
        <c:tickLblPos val="nextTo"/>
        <c:crossAx val="19325130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'Optimal Cost of Capital'!$O$34</c:f>
              <c:strCache>
                <c:ptCount val="1"/>
                <c:pt idx="0">
                  <c:v>WACC</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rgbClr val="F9D1B9"/>
                </a:solidFill>
                <a:ln w="9525">
                  <a:solidFill>
                    <a:sysClr val="windowText" lastClr="000000"/>
                  </a:solidFill>
                </a:ln>
                <a:effectLst/>
              </c:spPr>
            </c:marker>
            <c:bubble3D val="0"/>
            <c:extLst>
              <c:ext xmlns:c16="http://schemas.microsoft.com/office/drawing/2014/chart" uri="{C3380CC4-5D6E-409C-BE32-E72D297353CC}">
                <c16:uniqueId val="{00000005-771A-439C-AA69-E1F6DCDAE81E}"/>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A42-4E38-980B-E2EFD989FD9B}"/>
              </c:ext>
            </c:extLst>
          </c:dPt>
          <c:dPt>
            <c:idx val="4"/>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2-21FC-4376-B3A8-DB3B1F3E9D61}"/>
              </c:ext>
            </c:extLst>
          </c:dPt>
          <c:dPt>
            <c:idx val="5"/>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3-38E7-413F-A9B5-82FD563A4058}"/>
              </c:ext>
            </c:extLst>
          </c:dPt>
          <c:xVal>
            <c:numRef>
              <c:f>'Optimal Cost of Capital'!$B$35:$B$44</c:f>
              <c:numCache>
                <c:formatCode>0%</c:formatCode>
                <c:ptCount val="10"/>
                <c:pt idx="0">
                  <c:v>5.0000000000000001E-3</c:v>
                </c:pt>
                <c:pt idx="1">
                  <c:v>0.01</c:v>
                </c:pt>
                <c:pt idx="2">
                  <c:v>0.02</c:v>
                </c:pt>
                <c:pt idx="3">
                  <c:v>0.03</c:v>
                </c:pt>
                <c:pt idx="4">
                  <c:v>0.04</c:v>
                </c:pt>
                <c:pt idx="5">
                  <c:v>0.05</c:v>
                </c:pt>
                <c:pt idx="6">
                  <c:v>0.06</c:v>
                </c:pt>
                <c:pt idx="7">
                  <c:v>7.0000000000000007E-2</c:v>
                </c:pt>
                <c:pt idx="8">
                  <c:v>0.08</c:v>
                </c:pt>
                <c:pt idx="9">
                  <c:v>0.09</c:v>
                </c:pt>
              </c:numCache>
            </c:numRef>
          </c:xVal>
          <c:yVal>
            <c:numRef>
              <c:f>'Optimal Cost of Capital'!$O$35:$O$44</c:f>
              <c:numCache>
                <c:formatCode>0.000%</c:formatCode>
                <c:ptCount val="10"/>
                <c:pt idx="0">
                  <c:v>9.3065849192773081E-2</c:v>
                </c:pt>
                <c:pt idx="1">
                  <c:v>9.3708622541412337E-2</c:v>
                </c:pt>
                <c:pt idx="2">
                  <c:v>9.4994169238690862E-2</c:v>
                </c:pt>
                <c:pt idx="3">
                  <c:v>9.6279715935969387E-2</c:v>
                </c:pt>
                <c:pt idx="4">
                  <c:v>9.7565262633247898E-2</c:v>
                </c:pt>
                <c:pt idx="5">
                  <c:v>9.8850809330526437E-2</c:v>
                </c:pt>
                <c:pt idx="6">
                  <c:v>0.10013635602780496</c:v>
                </c:pt>
                <c:pt idx="7">
                  <c:v>0.10142190272508349</c:v>
                </c:pt>
                <c:pt idx="8">
                  <c:v>0.10270744942236203</c:v>
                </c:pt>
                <c:pt idx="9">
                  <c:v>0.10399299611964054</c:v>
                </c:pt>
              </c:numCache>
            </c:numRef>
          </c:yVal>
          <c:smooth val="0"/>
          <c:extLst>
            <c:ext xmlns:c16="http://schemas.microsoft.com/office/drawing/2014/chart" uri="{C3380CC4-5D6E-409C-BE32-E72D297353CC}">
              <c16:uniqueId val="{00000000-771A-439C-AA69-E1F6DCDAE81E}"/>
            </c:ext>
          </c:extLst>
        </c:ser>
        <c:dLbls>
          <c:showLegendKey val="0"/>
          <c:showVal val="0"/>
          <c:showCatName val="0"/>
          <c:showSerName val="0"/>
          <c:showPercent val="0"/>
          <c:showBubbleSize val="0"/>
        </c:dLbls>
        <c:axId val="1184005280"/>
        <c:axId val="1184006944"/>
      </c:scatterChart>
      <c:valAx>
        <c:axId val="118400528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6944"/>
        <c:crosses val="autoZero"/>
        <c:crossBetween val="midCat"/>
      </c:valAx>
      <c:valAx>
        <c:axId val="11840069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528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'Adjusted Present Value'!$J$32</c:f>
              <c:strCache>
                <c:ptCount val="1"/>
                <c:pt idx="0">
                  <c:v>Value of Unlevered Firm</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rgbClr val="F9D1B9"/>
                </a:solidFill>
                <a:ln w="9525">
                  <a:solidFill>
                    <a:sysClr val="windowText" lastClr="000000"/>
                  </a:solidFill>
                </a:ln>
                <a:effectLst/>
              </c:spPr>
            </c:marker>
            <c:bubble3D val="0"/>
            <c:extLst>
              <c:ext xmlns:c16="http://schemas.microsoft.com/office/drawing/2014/chart" uri="{C3380CC4-5D6E-409C-BE32-E72D297353CC}">
                <c16:uniqueId val="{00000001-37AA-47C4-A6F2-50DEAFE6FED9}"/>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2-E9DB-4525-B6F4-F287B926538A}"/>
              </c:ext>
            </c:extLst>
          </c:dPt>
          <c:dPt>
            <c:idx val="7"/>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2-1BE1-4FBA-B0B1-250FAEDBEE01}"/>
              </c:ext>
            </c:extLst>
          </c:dPt>
          <c:xVal>
            <c:numRef>
              <c:f>'Adjusted Present Value'!$B$33:$B$42</c:f>
              <c:numCache>
                <c:formatCode>0%</c:formatCode>
                <c:ptCount val="10"/>
                <c:pt idx="0">
                  <c:v>0</c:v>
                </c:pt>
                <c:pt idx="1">
                  <c:v>0.01</c:v>
                </c:pt>
                <c:pt idx="2">
                  <c:v>0.02</c:v>
                </c:pt>
                <c:pt idx="3">
                  <c:v>0.03</c:v>
                </c:pt>
                <c:pt idx="4">
                  <c:v>0.04</c:v>
                </c:pt>
                <c:pt idx="5">
                  <c:v>0.05</c:v>
                </c:pt>
                <c:pt idx="6">
                  <c:v>0.06</c:v>
                </c:pt>
                <c:pt idx="7">
                  <c:v>7.0000000000000007E-2</c:v>
                </c:pt>
                <c:pt idx="8">
                  <c:v>0.08</c:v>
                </c:pt>
                <c:pt idx="9">
                  <c:v>0.09</c:v>
                </c:pt>
              </c:numCache>
            </c:numRef>
          </c:xVal>
          <c:yVal>
            <c:numRef>
              <c:f>'Adjusted Present Value'!$J$33:$J$42</c:f>
              <c:numCache>
                <c:formatCode>_("$"* #,##0_);_("$"* \(#,##0\);_("$"* "-"??_);_(@_)</c:formatCode>
                <c:ptCount val="10"/>
                <c:pt idx="0">
                  <c:v>117012.26863745319</c:v>
                </c:pt>
                <c:pt idx="1">
                  <c:v>112018.6956332969</c:v>
                </c:pt>
                <c:pt idx="2">
                  <c:v>112018.6956332969</c:v>
                </c:pt>
                <c:pt idx="3">
                  <c:v>112018.6956332969</c:v>
                </c:pt>
                <c:pt idx="4">
                  <c:v>112018.6956332969</c:v>
                </c:pt>
                <c:pt idx="5">
                  <c:v>112018.6956332969</c:v>
                </c:pt>
                <c:pt idx="6">
                  <c:v>112018.6956332969</c:v>
                </c:pt>
                <c:pt idx="7">
                  <c:v>112018.6956332969</c:v>
                </c:pt>
                <c:pt idx="8">
                  <c:v>112018.6956332969</c:v>
                </c:pt>
                <c:pt idx="9">
                  <c:v>112018.6956332969</c:v>
                </c:pt>
              </c:numCache>
            </c:numRef>
          </c:yVal>
          <c:smooth val="0"/>
          <c:extLst>
            <c:ext xmlns:c16="http://schemas.microsoft.com/office/drawing/2014/chart" uri="{C3380CC4-5D6E-409C-BE32-E72D297353CC}">
              <c16:uniqueId val="{00000000-E9DB-4525-B6F4-F287B926538A}"/>
            </c:ext>
          </c:extLst>
        </c:ser>
        <c:dLbls>
          <c:showLegendKey val="0"/>
          <c:showVal val="0"/>
          <c:showCatName val="0"/>
          <c:showSerName val="0"/>
          <c:showPercent val="0"/>
          <c:showBubbleSize val="0"/>
        </c:dLbls>
        <c:axId val="737832495"/>
        <c:axId val="737828335"/>
      </c:scatterChart>
      <c:valAx>
        <c:axId val="73783249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28335"/>
        <c:crosses val="autoZero"/>
        <c:crossBetween val="midCat"/>
      </c:valAx>
      <c:valAx>
        <c:axId val="73782833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3249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A5DD700-5AF0-4EF6-9271-0F3D09B709EF}" formatIdx="0">
          <cx:spPr>
            <a:solidFill>
              <a:srgbClr val="FF5A5F"/>
            </a:solidFill>
          </cx:spPr>
          <cx:dataPt idx="0">
            <cx:spPr>
              <a:solidFill>
                <a:srgbClr val="0039A6"/>
              </a:solidFill>
              <a:ln>
                <a:noFill/>
              </a:ln>
            </cx:spPr>
          </cx:dataPt>
          <cx:dataPt idx="1">
            <cx:spPr>
              <a:solidFill>
                <a:srgbClr val="B9D0FF"/>
              </a:solidFill>
              <a:ln>
                <a:noFill/>
              </a:ln>
            </cx:spPr>
          </cx:dataPt>
          <cx:dataPt idx="2">
            <cx:spPr>
              <a:solidFill>
                <a:srgbClr val="B9D0FF"/>
              </a:solidFill>
              <a:ln>
                <a:noFill/>
              </a:ln>
            </cx:spPr>
          </cx:dataPt>
          <cx:dataPt idx="3">
            <cx:spPr>
              <a:solidFill>
                <a:srgbClr val="B9D0FF"/>
              </a:solidFill>
              <a:ln>
                <a:noFill/>
              </a:ln>
            </cx:spPr>
          </cx:dataPt>
          <cx:dataPt idx="4">
            <cx:spPr>
              <a:solidFill>
                <a:srgbClr val="B9D0FF"/>
              </a:solidFill>
              <a:ln>
                <a:noFill/>
              </a:ln>
            </cx:spPr>
          </cx:dataPt>
          <cx:dataPt idx="5">
            <cx:spPr>
              <a:solidFill>
                <a:srgbClr val="0039A6"/>
              </a:solidFill>
              <a:ln>
                <a:noFill/>
              </a:ln>
            </cx:spPr>
          </cx:dataPt>
          <cx:dataPt idx="6">
            <cx:spPr>
              <a:solidFill>
                <a:schemeClr val="accent3">
                  <a:lumMod val="60000"/>
                  <a:lumOff val="40000"/>
                </a:schemeClr>
              </a:solidFill>
              <a:ln>
                <a:noFill/>
              </a:ln>
            </cx:spPr>
          </cx:dataPt>
          <cx:dataPt idx="7">
            <cx:spPr>
              <a:solidFill>
                <a:srgbClr val="1ED760"/>
              </a:solidFill>
              <a:ln>
                <a:noFill/>
              </a:ln>
            </cx:spPr>
          </cx:dataPt>
          <cx:dataLabels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endParaRPr lang="en-US" sz="800" b="1" i="0"/>
              </a:p>
            </cx:txPr>
            <cx:visibility seriesName="0" categoryName="0" value="1"/>
            <cx:dataLabel idx="0"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r>
                    <a:rPr lang="en-US" b="1"/>
                    <a:t> $66,608 </a:t>
                  </a:r>
                </a:p>
              </cx:txPr>
              <cx:visibility seriesName="0" categoryName="0" value="1"/>
            </cx:dataLabel>
            <cx:dataLabel idx="1"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r>
                    <a:rPr lang="en-US" sz="800" b="1"/>
                    <a:t> $(63,106)</a:t>
                  </a:r>
                </a:p>
              </cx:txPr>
              <cx:visibility seriesName="0" categoryName="0" value="1"/>
            </cx:dataLabel>
          </cx:dataLabels>
          <cx:dataId val="0"/>
          <cx:layoutPr>
            <cx:visibility connectorLines="0"/>
            <cx:subtotals>
              <cx:idx val="5"/>
            </cx:subtotals>
          </cx:layoutPr>
        </cx:series>
      </cx:plotAreaRegion>
      <cx:axis id="0">
        <cx:catScaling gapWidth="0.300000012"/>
        <cx:majorTickMarks type="out"/>
        <cx:minorTickMarks type="out"/>
        <cx:tickLabels/>
        <cx:txPr>
          <a:bodyPr spcFirstLastPara="1" vertOverflow="ellipsis" wrap="square" lIns="0" tIns="0" rIns="0" bIns="0" anchor="ctr" anchorCtr="1"/>
          <a:lstStyle/>
          <a:p>
            <a:pPr>
              <a:defRPr b="1"/>
            </a:pPr>
            <a:endParaRPr lang="en-US" b="1"/>
          </a:p>
        </cx:txPr>
      </cx:axis>
      <cx:axis id="1" hidden="1">
        <cx:valScaling/>
        <cx:tickLabels/>
      </cx:axis>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bodyPr/>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87AE887-645D-4AB6-910D-AFE49B59BAE5}" type="doc">
      <dgm:prSet loTypeId="urn:microsoft.com/office/officeart/2005/8/layout/matrix3" loCatId="matrix" qsTypeId="urn:microsoft.com/office/officeart/2005/8/quickstyle/simple1" qsCatId="simple" csTypeId="urn:microsoft.com/office/officeart/2005/8/colors/accent1_2" csCatId="accent1" phldr="1"/>
      <dgm:spPr/>
      <dgm:t>
        <a:bodyPr/>
        <a:lstStyle/>
        <a:p>
          <a:endParaRPr lang="en-US"/>
        </a:p>
      </dgm:t>
    </dgm:pt>
    <dgm:pt modelId="{3B7A71BC-FA89-47E2-BC4D-9FAD0A5D11EE}">
      <dgm:prSet phldrT="[Text]" custT="1"/>
      <dgm:spPr>
        <a:noFill/>
        <a:ln>
          <a:solidFill>
            <a:srgbClr val="0039A6"/>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Surplus + Poor Projects</a:t>
          </a:r>
        </a:p>
      </dgm:t>
    </dgm:pt>
    <dgm:pt modelId="{30CBBC97-DBDF-43FF-99AD-2A0BD071B8FB}" type="parTrans" cxnId="{2127E0DD-B3C7-4112-B4A9-0D33EA379479}">
      <dgm:prSet/>
      <dgm:spPr/>
      <dgm:t>
        <a:bodyPr/>
        <a:lstStyle/>
        <a:p>
          <a:endParaRPr lang="en-US"/>
        </a:p>
      </dgm:t>
    </dgm:pt>
    <dgm:pt modelId="{DAA12A3B-5E75-4CEF-AA0D-7AE536CCF894}" type="sibTrans" cxnId="{2127E0DD-B3C7-4112-B4A9-0D33EA379479}">
      <dgm:prSet/>
      <dgm:spPr/>
      <dgm:t>
        <a:bodyPr/>
        <a:lstStyle/>
        <a:p>
          <a:endParaRPr lang="en-US"/>
        </a:p>
      </dgm:t>
    </dgm:pt>
    <dgm:pt modelId="{6A0527B0-36F2-4B73-A638-CF609A58818B}">
      <dgm:prSet phldrT="[Text]" custT="1"/>
      <dgm:spPr>
        <a:solidFill>
          <a:sysClr val="window" lastClr="FFFFFF"/>
        </a:solidFill>
        <a:ln>
          <a:solidFill>
            <a:srgbClr val="0039A6"/>
          </a:solidFill>
        </a:ln>
      </dgm:spPr>
      <dgm:t>
        <a:bodyPr anchor="t"/>
        <a:lstStyle/>
        <a:p>
          <a:pPr algn="ctr"/>
          <a:endParaRPr lang="en-US" sz="1000" b="1" i="1">
            <a:solidFill>
              <a:schemeClr val="bg1"/>
            </a:solidFill>
          </a:endParaRPr>
        </a:p>
        <a:p>
          <a:pPr algn="ctr"/>
          <a:r>
            <a:rPr lang="en-US" sz="1000" b="0" i="0">
              <a:solidFill>
                <a:sysClr val="windowText" lastClr="000000"/>
              </a:solidFill>
            </a:rPr>
            <a:t>Cash Surplus + Good Projects</a:t>
          </a:r>
        </a:p>
      </dgm:t>
    </dgm:pt>
    <dgm:pt modelId="{E1EBF0A7-96BA-4B5C-B373-9834D2256AC1}" type="parTrans" cxnId="{80A093ED-CB48-479D-A71F-07F40DCE59C1}">
      <dgm:prSet/>
      <dgm:spPr/>
      <dgm:t>
        <a:bodyPr/>
        <a:lstStyle/>
        <a:p>
          <a:endParaRPr lang="en-US"/>
        </a:p>
      </dgm:t>
    </dgm:pt>
    <dgm:pt modelId="{D853C850-8A9C-4970-A042-85F9B04EBDFA}" type="sibTrans" cxnId="{80A093ED-CB48-479D-A71F-07F40DCE59C1}">
      <dgm:prSet/>
      <dgm:spPr/>
      <dgm:t>
        <a:bodyPr/>
        <a:lstStyle/>
        <a:p>
          <a:endParaRPr lang="en-US"/>
        </a:p>
      </dgm:t>
    </dgm:pt>
    <dgm:pt modelId="{D36CBFB8-D3CE-498D-8D4E-5C125A2163ED}">
      <dgm:prSet phldrT="[Text]" custT="1"/>
      <dgm:spPr>
        <a:solidFill>
          <a:srgbClr val="0039A6"/>
        </a:solidFill>
        <a:ln>
          <a:solidFill>
            <a:srgbClr val="0039A6"/>
          </a:solidFill>
        </a:ln>
      </dgm:spPr>
      <dgm:t>
        <a:bodyPr anchor="t"/>
        <a:lstStyle/>
        <a:p>
          <a:pPr algn="ctr"/>
          <a:endParaRPr lang="en-US" sz="1000" i="1">
            <a:solidFill>
              <a:sysClr val="windowText" lastClr="000000"/>
            </a:solidFill>
          </a:endParaRPr>
        </a:p>
        <a:p>
          <a:pPr algn="ctr"/>
          <a:r>
            <a:rPr lang="en-US" sz="1000" b="1" i="1">
              <a:solidFill>
                <a:schemeClr val="bg1"/>
              </a:solidFill>
            </a:rPr>
            <a:t>Cash Deficit + Poor Projects</a:t>
          </a:r>
        </a:p>
      </dgm:t>
    </dgm:pt>
    <dgm:pt modelId="{BF1E04AB-6513-4409-B9E3-B96CF47B8A89}" type="parTrans" cxnId="{45D4F201-B93B-4215-8940-5AEF507A9B31}">
      <dgm:prSet/>
      <dgm:spPr/>
      <dgm:t>
        <a:bodyPr/>
        <a:lstStyle/>
        <a:p>
          <a:endParaRPr lang="en-US"/>
        </a:p>
      </dgm:t>
    </dgm:pt>
    <dgm:pt modelId="{81DBC2AF-D8B2-4D07-AF44-478B88333E8C}" type="sibTrans" cxnId="{45D4F201-B93B-4215-8940-5AEF507A9B31}">
      <dgm:prSet/>
      <dgm:spPr/>
      <dgm:t>
        <a:bodyPr/>
        <a:lstStyle/>
        <a:p>
          <a:endParaRPr lang="en-US"/>
        </a:p>
      </dgm:t>
    </dgm:pt>
    <dgm:pt modelId="{A8A7ABEC-1468-4B7C-B3A0-D4CF409B7A3A}">
      <dgm:prSet phldrT="[Text]" custT="1"/>
      <dgm:spPr>
        <a:noFill/>
        <a:ln>
          <a:solidFill>
            <a:srgbClr val="0039A6"/>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Deficit + Good Projects</a:t>
          </a:r>
        </a:p>
      </dgm:t>
    </dgm:pt>
    <dgm:pt modelId="{21E16707-C8A9-4939-896E-D201FDF97EE4}" type="parTrans" cxnId="{62942049-EFD1-474C-B456-28C1B8AA0829}">
      <dgm:prSet/>
      <dgm:spPr/>
      <dgm:t>
        <a:bodyPr/>
        <a:lstStyle/>
        <a:p>
          <a:endParaRPr lang="en-US"/>
        </a:p>
      </dgm:t>
    </dgm:pt>
    <dgm:pt modelId="{CF475316-3B7D-4B30-8CD4-D6AD4AFD6709}" type="sibTrans" cxnId="{62942049-EFD1-474C-B456-28C1B8AA0829}">
      <dgm:prSet/>
      <dgm:spPr/>
      <dgm:t>
        <a:bodyPr/>
        <a:lstStyle/>
        <a:p>
          <a:endParaRPr lang="en-US"/>
        </a:p>
      </dgm:t>
    </dgm:pt>
    <dgm:pt modelId="{61BA6A0B-9CC8-4479-B73F-AAD096D83919}" type="pres">
      <dgm:prSet presAssocID="{A87AE887-645D-4AB6-910D-AFE49B59BAE5}" presName="matrix" presStyleCnt="0">
        <dgm:presLayoutVars>
          <dgm:chMax val="1"/>
          <dgm:dir/>
          <dgm:resizeHandles val="exact"/>
        </dgm:presLayoutVars>
      </dgm:prSet>
      <dgm:spPr/>
      <dgm:t>
        <a:bodyPr/>
        <a:lstStyle/>
        <a:p>
          <a:endParaRPr lang="en-US"/>
        </a:p>
      </dgm:t>
    </dgm:pt>
    <dgm:pt modelId="{68121200-9F91-42D1-A953-C31C49AE73E4}" type="pres">
      <dgm:prSet presAssocID="{A87AE887-645D-4AB6-910D-AFE49B59BAE5}" presName="diamond" presStyleLbl="bgShp" presStyleIdx="0" presStyleCnt="1" custLinFactNeighborX="-43750" custLinFactNeighborY="-5556"/>
      <dgm:spPr>
        <a:noFill/>
      </dgm:spPr>
    </dgm:pt>
    <dgm:pt modelId="{612610D0-C9D6-4361-A958-C243B3875A6D}" type="pres">
      <dgm:prSet presAssocID="{A87AE887-645D-4AB6-910D-AFE49B59BAE5}" presName="quad1" presStyleLbl="node1" presStyleIdx="0" presStyleCnt="4">
        <dgm:presLayoutVars>
          <dgm:chMax val="0"/>
          <dgm:chPref val="0"/>
          <dgm:bulletEnabled val="1"/>
        </dgm:presLayoutVars>
      </dgm:prSet>
      <dgm:spPr/>
      <dgm:t>
        <a:bodyPr/>
        <a:lstStyle/>
        <a:p>
          <a:endParaRPr lang="en-US"/>
        </a:p>
      </dgm:t>
    </dgm:pt>
    <dgm:pt modelId="{36A78E69-4D51-412F-B8D8-EE32E2B23F89}" type="pres">
      <dgm:prSet presAssocID="{A87AE887-645D-4AB6-910D-AFE49B59BAE5}" presName="quad2" presStyleLbl="node1" presStyleIdx="1" presStyleCnt="4">
        <dgm:presLayoutVars>
          <dgm:chMax val="0"/>
          <dgm:chPref val="0"/>
          <dgm:bulletEnabled val="1"/>
        </dgm:presLayoutVars>
      </dgm:prSet>
      <dgm:spPr/>
      <dgm:t>
        <a:bodyPr/>
        <a:lstStyle/>
        <a:p>
          <a:endParaRPr lang="en-US"/>
        </a:p>
      </dgm:t>
    </dgm:pt>
    <dgm:pt modelId="{6E5374E9-3063-44D1-A4E6-BD24F914E87F}" type="pres">
      <dgm:prSet presAssocID="{A87AE887-645D-4AB6-910D-AFE49B59BAE5}" presName="quad3" presStyleLbl="node1" presStyleIdx="2" presStyleCnt="4">
        <dgm:presLayoutVars>
          <dgm:chMax val="0"/>
          <dgm:chPref val="0"/>
          <dgm:bulletEnabled val="1"/>
        </dgm:presLayoutVars>
      </dgm:prSet>
      <dgm:spPr/>
      <dgm:t>
        <a:bodyPr/>
        <a:lstStyle/>
        <a:p>
          <a:endParaRPr lang="en-US"/>
        </a:p>
      </dgm:t>
    </dgm:pt>
    <dgm:pt modelId="{4EBBA46B-EC79-44F7-90DE-1561621BC3E5}" type="pres">
      <dgm:prSet presAssocID="{A87AE887-645D-4AB6-910D-AFE49B59BAE5}" presName="quad4" presStyleLbl="node1" presStyleIdx="3" presStyleCnt="4">
        <dgm:presLayoutVars>
          <dgm:chMax val="0"/>
          <dgm:chPref val="0"/>
          <dgm:bulletEnabled val="1"/>
        </dgm:presLayoutVars>
      </dgm:prSet>
      <dgm:spPr/>
      <dgm:t>
        <a:bodyPr/>
        <a:lstStyle/>
        <a:p>
          <a:endParaRPr lang="en-US"/>
        </a:p>
      </dgm:t>
    </dgm:pt>
  </dgm:ptLst>
  <dgm:cxnLst>
    <dgm:cxn modelId="{0C9D54E4-6CC4-43BD-A754-775DA8EA24E2}" type="presOf" srcId="{3B7A71BC-FA89-47E2-BC4D-9FAD0A5D11EE}" destId="{612610D0-C9D6-4361-A958-C243B3875A6D}" srcOrd="0" destOrd="0" presId="urn:microsoft.com/office/officeart/2005/8/layout/matrix3"/>
    <dgm:cxn modelId="{80A093ED-CB48-479D-A71F-07F40DCE59C1}" srcId="{A87AE887-645D-4AB6-910D-AFE49B59BAE5}" destId="{6A0527B0-36F2-4B73-A638-CF609A58818B}" srcOrd="1" destOrd="0" parTransId="{E1EBF0A7-96BA-4B5C-B373-9834D2256AC1}" sibTransId="{D853C850-8A9C-4970-A042-85F9B04EBDFA}"/>
    <dgm:cxn modelId="{62942049-EFD1-474C-B456-28C1B8AA0829}" srcId="{A87AE887-645D-4AB6-910D-AFE49B59BAE5}" destId="{A8A7ABEC-1468-4B7C-B3A0-D4CF409B7A3A}" srcOrd="3" destOrd="0" parTransId="{21E16707-C8A9-4939-896E-D201FDF97EE4}" sibTransId="{CF475316-3B7D-4B30-8CD4-D6AD4AFD6709}"/>
    <dgm:cxn modelId="{009CF931-4BFF-45A5-AC90-3D6E651B3E3C}" type="presOf" srcId="{D36CBFB8-D3CE-498D-8D4E-5C125A2163ED}" destId="{6E5374E9-3063-44D1-A4E6-BD24F914E87F}" srcOrd="0" destOrd="0" presId="urn:microsoft.com/office/officeart/2005/8/layout/matrix3"/>
    <dgm:cxn modelId="{2127E0DD-B3C7-4112-B4A9-0D33EA379479}" srcId="{A87AE887-645D-4AB6-910D-AFE49B59BAE5}" destId="{3B7A71BC-FA89-47E2-BC4D-9FAD0A5D11EE}" srcOrd="0" destOrd="0" parTransId="{30CBBC97-DBDF-43FF-99AD-2A0BD071B8FB}" sibTransId="{DAA12A3B-5E75-4CEF-AA0D-7AE536CCF894}"/>
    <dgm:cxn modelId="{4F649AD8-A863-42EC-9A3D-D39385B15282}" type="presOf" srcId="{A87AE887-645D-4AB6-910D-AFE49B59BAE5}" destId="{61BA6A0B-9CC8-4479-B73F-AAD096D83919}" srcOrd="0" destOrd="0" presId="urn:microsoft.com/office/officeart/2005/8/layout/matrix3"/>
    <dgm:cxn modelId="{45D4F201-B93B-4215-8940-5AEF507A9B31}" srcId="{A87AE887-645D-4AB6-910D-AFE49B59BAE5}" destId="{D36CBFB8-D3CE-498D-8D4E-5C125A2163ED}" srcOrd="2" destOrd="0" parTransId="{BF1E04AB-6513-4409-B9E3-B96CF47B8A89}" sibTransId="{81DBC2AF-D8B2-4D07-AF44-478B88333E8C}"/>
    <dgm:cxn modelId="{F2D73DE8-84EF-4CBE-99DB-63F3EDC245D5}" type="presOf" srcId="{6A0527B0-36F2-4B73-A638-CF609A58818B}" destId="{36A78E69-4D51-412F-B8D8-EE32E2B23F89}" srcOrd="0" destOrd="0" presId="urn:microsoft.com/office/officeart/2005/8/layout/matrix3"/>
    <dgm:cxn modelId="{0791DFD5-670D-4EEF-B786-483852237F32}" type="presOf" srcId="{A8A7ABEC-1468-4B7C-B3A0-D4CF409B7A3A}" destId="{4EBBA46B-EC79-44F7-90DE-1561621BC3E5}" srcOrd="0" destOrd="0" presId="urn:microsoft.com/office/officeart/2005/8/layout/matrix3"/>
    <dgm:cxn modelId="{FD7F2C5C-2D3B-4C24-8EFA-E7F787B94F60}" type="presParOf" srcId="{61BA6A0B-9CC8-4479-B73F-AAD096D83919}" destId="{68121200-9F91-42D1-A953-C31C49AE73E4}" srcOrd="0" destOrd="0" presId="urn:microsoft.com/office/officeart/2005/8/layout/matrix3"/>
    <dgm:cxn modelId="{0CB41018-2871-461E-9CA9-096295B28589}" type="presParOf" srcId="{61BA6A0B-9CC8-4479-B73F-AAD096D83919}" destId="{612610D0-C9D6-4361-A958-C243B3875A6D}" srcOrd="1" destOrd="0" presId="urn:microsoft.com/office/officeart/2005/8/layout/matrix3"/>
    <dgm:cxn modelId="{73CE2809-B945-4363-951A-E5AFB7FA386D}" type="presParOf" srcId="{61BA6A0B-9CC8-4479-B73F-AAD096D83919}" destId="{36A78E69-4D51-412F-B8D8-EE32E2B23F89}" srcOrd="2" destOrd="0" presId="urn:microsoft.com/office/officeart/2005/8/layout/matrix3"/>
    <dgm:cxn modelId="{C9CEFC25-FDBD-4712-80EC-F931854DCA68}" type="presParOf" srcId="{61BA6A0B-9CC8-4479-B73F-AAD096D83919}" destId="{6E5374E9-3063-44D1-A4E6-BD24F914E87F}" srcOrd="3" destOrd="0" presId="urn:microsoft.com/office/officeart/2005/8/layout/matrix3"/>
    <dgm:cxn modelId="{82653115-9937-4E71-BEDE-43091A54CE01}" type="presParOf" srcId="{61BA6A0B-9CC8-4479-B73F-AAD096D83919}" destId="{4EBBA46B-EC79-44F7-90DE-1561621BC3E5}" srcOrd="4" destOrd="0" presId="urn:microsoft.com/office/officeart/2005/8/layout/matrix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8121200-9F91-42D1-A953-C31C49AE73E4}">
      <dsp:nvSpPr>
        <dsp:cNvPr id="0" name=""/>
        <dsp:cNvSpPr/>
      </dsp:nvSpPr>
      <dsp:spPr>
        <a:xfrm>
          <a:off x="0" y="0"/>
          <a:ext cx="3324225" cy="3324225"/>
        </a:xfrm>
        <a:prstGeom prst="diamond">
          <a:avLst/>
        </a:prstGeom>
        <a:noFill/>
        <a:ln>
          <a:noFill/>
        </a:ln>
        <a:effectLst/>
      </dsp:spPr>
      <dsp:style>
        <a:lnRef idx="0">
          <a:scrgbClr r="0" g="0" b="0"/>
        </a:lnRef>
        <a:fillRef idx="1">
          <a:scrgbClr r="0" g="0" b="0"/>
        </a:fillRef>
        <a:effectRef idx="0">
          <a:scrgbClr r="0" g="0" b="0"/>
        </a:effectRef>
        <a:fontRef idx="minor"/>
      </dsp:style>
    </dsp:sp>
    <dsp:sp modelId="{612610D0-C9D6-4361-A958-C243B3875A6D}">
      <dsp:nvSpPr>
        <dsp:cNvPr id="0" name=""/>
        <dsp:cNvSpPr/>
      </dsp:nvSpPr>
      <dsp:spPr>
        <a:xfrm>
          <a:off x="372950" y="315801"/>
          <a:ext cx="1296447" cy="1296447"/>
        </a:xfrm>
        <a:prstGeom prst="roundRect">
          <a:avLst/>
        </a:prstGeom>
        <a:noFill/>
        <a:ln w="25400" cap="flat" cmpd="sng" algn="ctr">
          <a:solidFill>
            <a:srgbClr val="0039A6"/>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Surplus + Poor Projects</a:t>
          </a:r>
        </a:p>
      </dsp:txBody>
      <dsp:txXfrm>
        <a:off x="436237" y="379088"/>
        <a:ext cx="1169873" cy="1169873"/>
      </dsp:txXfrm>
    </dsp:sp>
    <dsp:sp modelId="{36A78E69-4D51-412F-B8D8-EE32E2B23F89}">
      <dsp:nvSpPr>
        <dsp:cNvPr id="0" name=""/>
        <dsp:cNvSpPr/>
      </dsp:nvSpPr>
      <dsp:spPr>
        <a:xfrm>
          <a:off x="1769125" y="315801"/>
          <a:ext cx="1296447" cy="1296447"/>
        </a:xfrm>
        <a:prstGeom prst="roundRect">
          <a:avLst/>
        </a:prstGeom>
        <a:solidFill>
          <a:sysClr val="window" lastClr="FFFFFF"/>
        </a:solidFill>
        <a:ln w="25400" cap="flat" cmpd="sng" algn="ctr">
          <a:solidFill>
            <a:srgbClr val="0039A6"/>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b="1" i="1" kern="1200">
            <a:solidFill>
              <a:schemeClr val="bg1"/>
            </a:solidFill>
          </a:endParaRPr>
        </a:p>
        <a:p>
          <a:pPr lvl="0" algn="ctr" defTabSz="444500">
            <a:lnSpc>
              <a:spcPct val="90000"/>
            </a:lnSpc>
            <a:spcBef>
              <a:spcPct val="0"/>
            </a:spcBef>
            <a:spcAft>
              <a:spcPct val="35000"/>
            </a:spcAft>
          </a:pPr>
          <a:r>
            <a:rPr lang="en-US" sz="1000" b="0" i="0" kern="1200">
              <a:solidFill>
                <a:sysClr val="windowText" lastClr="000000"/>
              </a:solidFill>
            </a:rPr>
            <a:t>Cash Surplus + Good Projects</a:t>
          </a:r>
        </a:p>
      </dsp:txBody>
      <dsp:txXfrm>
        <a:off x="1832412" y="379088"/>
        <a:ext cx="1169873" cy="1169873"/>
      </dsp:txXfrm>
    </dsp:sp>
    <dsp:sp modelId="{6E5374E9-3063-44D1-A4E6-BD24F914E87F}">
      <dsp:nvSpPr>
        <dsp:cNvPr id="0" name=""/>
        <dsp:cNvSpPr/>
      </dsp:nvSpPr>
      <dsp:spPr>
        <a:xfrm>
          <a:off x="372950" y="1711975"/>
          <a:ext cx="1296447" cy="1296447"/>
        </a:xfrm>
        <a:prstGeom prst="roundRect">
          <a:avLst/>
        </a:prstGeom>
        <a:solidFill>
          <a:srgbClr val="0039A6"/>
        </a:solidFill>
        <a:ln w="25400" cap="flat" cmpd="sng" algn="ctr">
          <a:solidFill>
            <a:srgbClr val="0039A6"/>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b="1" i="1" kern="1200">
              <a:solidFill>
                <a:schemeClr val="bg1"/>
              </a:solidFill>
            </a:rPr>
            <a:t>Cash Deficit + Poor Projects</a:t>
          </a:r>
        </a:p>
      </dsp:txBody>
      <dsp:txXfrm>
        <a:off x="436237" y="1775262"/>
        <a:ext cx="1169873" cy="1169873"/>
      </dsp:txXfrm>
    </dsp:sp>
    <dsp:sp modelId="{4EBBA46B-EC79-44F7-90DE-1561621BC3E5}">
      <dsp:nvSpPr>
        <dsp:cNvPr id="0" name=""/>
        <dsp:cNvSpPr/>
      </dsp:nvSpPr>
      <dsp:spPr>
        <a:xfrm>
          <a:off x="1769125" y="1711975"/>
          <a:ext cx="1296447" cy="1296447"/>
        </a:xfrm>
        <a:prstGeom prst="roundRect">
          <a:avLst/>
        </a:prstGeom>
        <a:noFill/>
        <a:ln w="25400" cap="flat" cmpd="sng" algn="ctr">
          <a:solidFill>
            <a:srgbClr val="0039A6"/>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Deficit + Good Projects</a:t>
          </a:r>
        </a:p>
      </dsp:txBody>
      <dsp:txXfrm>
        <a:off x="1832412" y="1775262"/>
        <a:ext cx="1169873" cy="1169873"/>
      </dsp:txXfrm>
    </dsp:sp>
  </dsp:spTree>
</dsp:drawing>
</file>

<file path=xl/diagrams/layout1.xml><?xml version="1.0" encoding="utf-8"?>
<dgm:layoutDef xmlns:dgm="http://schemas.openxmlformats.org/drawingml/2006/diagram" xmlns:a="http://schemas.openxmlformats.org/drawingml/2006/main" uniqueId="urn:microsoft.com/office/officeart/2005/8/layout/matrix3">
  <dgm:title val=""/>
  <dgm:desc val=""/>
  <dgm:catLst>
    <dgm:cat type="matrix" pri="1000"/>
    <dgm:cat type="convert" pri="18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0" destOrd="0"/>
        <dgm:cxn modelId="8" srcId="0" destId="4" srcOrd="1" destOrd="0"/>
      </dgm:cxnLst>
      <dgm:bg/>
      <dgm:whole/>
    </dgm:dataModel>
  </dgm:sampData>
  <dgm:styleData useDef="1">
    <dgm:dataModel>
      <dgm:ptLst/>
      <dgm:bg/>
      <dgm:whole/>
    </dgm:dataModel>
  </dgm:styleData>
  <dgm:clrData useDef="1">
    <dgm:dataModel>
      <dgm:ptLst/>
      <dgm:bg/>
      <dgm:whole/>
    </dgm:dataModel>
  </dgm:clrData>
  <dgm:layoutNode name="matrix">
    <dgm:varLst>
      <dgm:chMax val="1"/>
      <dgm:dir/>
      <dgm:resizeHandles val="exact"/>
    </dgm:varLst>
    <dgm:alg type="composite">
      <dgm:param type="ar" val="1"/>
    </dgm:alg>
    <dgm:shape xmlns:r="http://schemas.openxmlformats.org/officeDocument/2006/relationships" r:blip="">
      <dgm:adjLst/>
    </dgm:shape>
    <dgm:presOf/>
    <dgm:choose name="Name0">
      <dgm:if name="Name1" func="var" arg="dir" op="equ" val="norm">
        <dgm:constrLst>
          <dgm:constr type="w" for="ch" forName="diamond" refType="w"/>
          <dgm:constr type="h" for="ch" forName="diamond" refType="h"/>
          <dgm:constr type="w" for="ch" forName="quad1" refType="w" fact="0.39"/>
          <dgm:constr type="h" for="ch" forName="quad1" refType="h" fact="0.39"/>
          <dgm:constr type="ctrX" for="ch" forName="quad1" refType="w" fact="0.29"/>
          <dgm:constr type="ctrY" for="ch" forName="quad1" refType="h" fact="0.29"/>
          <dgm:constr type="w" for="ch" forName="quad2" refType="w" fact="0.39"/>
          <dgm:constr type="h" for="ch" forName="quad2" refType="h" fact="0.39"/>
          <dgm:constr type="ctrX" for="ch" forName="quad2" refType="w" fact="0.71"/>
          <dgm:constr type="ctrY" for="ch" forName="quad2" refType="h" fact="0.29"/>
          <dgm:constr type="w" for="ch" forName="quad3" refType="w" fact="0.39"/>
          <dgm:constr type="h" for="ch" forName="quad3" refType="h" fact="0.39"/>
          <dgm:constr type="ctrX" for="ch" forName="quad3" refType="w" fact="0.29"/>
          <dgm:constr type="ctrY" for="ch" forName="quad3" refType="h" fact="0.71"/>
          <dgm:constr type="w" for="ch" forName="quad4" refType="w" fact="0.39"/>
          <dgm:constr type="h" for="ch" forName="quad4" refType="h" fact="0.39"/>
          <dgm:constr type="ctrX" for="ch" forName="quad4" refType="w" fact="0.71"/>
          <dgm:constr type="ctrY" for="ch" forName="quad4" refType="h" fact="0.71"/>
          <dgm:constr type="primFontSz" for="des" ptType="node" op="equ" val="65"/>
        </dgm:constrLst>
      </dgm:if>
      <dgm:else name="Name2">
        <dgm:constrLst>
          <dgm:constr type="w" for="ch" forName="diamond" refType="w"/>
          <dgm:constr type="h" for="ch" forName="diamond" refType="h"/>
          <dgm:constr type="w" for="ch" forName="quad1" refType="w" fact="0.39"/>
          <dgm:constr type="h" for="ch" forName="quad1" refType="h" fact="0.39"/>
          <dgm:constr type="ctrX" for="ch" forName="quad1" refType="w" fact="0.71"/>
          <dgm:constr type="ctrY" for="ch" forName="quad1" refType="h" fact="0.29"/>
          <dgm:constr type="w" for="ch" forName="quad2" refType="w" fact="0.39"/>
          <dgm:constr type="h" for="ch" forName="quad2" refType="h" fact="0.39"/>
          <dgm:constr type="ctrX" for="ch" forName="quad2" refType="w" fact="0.29"/>
          <dgm:constr type="ctrY" for="ch" forName="quad2" refType="h" fact="0.29"/>
          <dgm:constr type="w" for="ch" forName="quad3" refType="w" fact="0.39"/>
          <dgm:constr type="h" for="ch" forName="quad3" refType="h" fact="0.39"/>
          <dgm:constr type="ctrX" for="ch" forName="quad3" refType="w" fact="0.71"/>
          <dgm:constr type="ctrY" for="ch" forName="quad3" refType="h" fact="0.71"/>
          <dgm:constr type="w" for="ch" forName="quad4" refType="w" fact="0.39"/>
          <dgm:constr type="h" for="ch" forName="quad4" refType="h" fact="0.39"/>
          <dgm:constr type="ctrX" for="ch" forName="quad4" refType="w" fact="0.29"/>
          <dgm:constr type="ctrY" for="ch" forName="quad4" refType="h" fact="0.71"/>
          <dgm:constr type="primFontSz" for="des" ptType="node" op="equ" val="65"/>
        </dgm:constrLst>
      </dgm:else>
    </dgm:choose>
    <dgm:ruleLst/>
    <dgm:choose name="Name3">
      <dgm:if name="Name4" axis="ch" ptType="node" func="cnt" op="gte" val="1">
        <dgm:layoutNode name="diamond" styleLbl="bgShp">
          <dgm:alg type="sp"/>
          <dgm:shape xmlns:r="http://schemas.openxmlformats.org/officeDocument/2006/relationships" type="diamond" r:blip="">
            <dgm:adjLst/>
          </dgm:shape>
          <dgm:presOf/>
          <dgm:constrLst>
            <dgm:constr type="w" refType="h" op="equ"/>
          </dgm:constrLst>
          <dgm:ruleLst/>
        </dgm:layoutNode>
        <dgm:layoutNode name="quad1">
          <dgm:varLst>
            <dgm:chMax val="0"/>
            <dgm:chPref val="0"/>
            <dgm:bulletEnabled val="1"/>
          </dgm:varLst>
          <dgm:alg type="tx"/>
          <dgm:shape xmlns:r="http://schemas.openxmlformats.org/officeDocument/2006/relationships" type="roundRect" r:blip="">
            <dgm:adjLst/>
          </dgm:shape>
          <dgm:presOf axis="ch desOrSelf" ptType="node node" st="1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2">
          <dgm:varLst>
            <dgm:chMax val="0"/>
            <dgm:chPref val="0"/>
            <dgm:bulletEnabled val="1"/>
          </dgm:varLst>
          <dgm:alg type="tx"/>
          <dgm:shape xmlns:r="http://schemas.openxmlformats.org/officeDocument/2006/relationships" type="roundRect" r:blip="">
            <dgm:adjLst/>
          </dgm:shape>
          <dgm:presOf axis="ch desOrSelf" ptType="node node" st="2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3">
          <dgm:varLst>
            <dgm:chMax val="0"/>
            <dgm:chPref val="0"/>
            <dgm:bulletEnabled val="1"/>
          </dgm:varLst>
          <dgm:alg type="tx"/>
          <dgm:shape xmlns:r="http://schemas.openxmlformats.org/officeDocument/2006/relationships" type="roundRect" r:blip="">
            <dgm:adjLst/>
          </dgm:shape>
          <dgm:presOf axis="ch desOrSelf" ptType="node node" st="3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4">
          <dgm:varLst>
            <dgm:chMax val="0"/>
            <dgm:chPref val="0"/>
            <dgm:bulletEnabled val="1"/>
          </dgm:varLst>
          <dgm:alg type="tx"/>
          <dgm:shape xmlns:r="http://schemas.openxmlformats.org/officeDocument/2006/relationships" type="roundRect" r:blip="">
            <dgm:adjLst/>
          </dgm:shape>
          <dgm:presOf axis="ch desOrSelf" ptType="node node" st="4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6</xdr:col>
      <xdr:colOff>71507</xdr:colOff>
      <xdr:row>7</xdr:row>
      <xdr:rowOff>2</xdr:rowOff>
    </xdr:from>
    <xdr:to>
      <xdr:col>15</xdr:col>
      <xdr:colOff>38100</xdr:colOff>
      <xdr:row>16</xdr:row>
      <xdr:rowOff>142876</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9525</xdr:colOff>
      <xdr:row>1</xdr:row>
      <xdr:rowOff>0</xdr:rowOff>
    </xdr:from>
    <xdr:to>
      <xdr:col>3</xdr:col>
      <xdr:colOff>133350</xdr:colOff>
      <xdr:row>3</xdr:row>
      <xdr:rowOff>152400</xdr:rowOff>
    </xdr:to>
    <xdr:sp macro="" textlink="">
      <xdr:nvSpPr>
        <xdr:cNvPr id="6" name="Rectangle 5"/>
        <xdr:cNvSpPr/>
      </xdr:nvSpPr>
      <xdr:spPr>
        <a:xfrm>
          <a:off x="142875" y="66675"/>
          <a:ext cx="1343025" cy="533400"/>
        </a:xfrm>
        <a:prstGeom prst="rect">
          <a:avLst/>
        </a:prstGeom>
        <a:solidFill>
          <a:srgbClr val="0039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0</xdr:rowOff>
    </xdr:from>
    <xdr:to>
      <xdr:col>5</xdr:col>
      <xdr:colOff>600075</xdr:colOff>
      <xdr:row>16</xdr:row>
      <xdr:rowOff>76199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142874</xdr:colOff>
      <xdr:row>7</xdr:row>
      <xdr:rowOff>0</xdr:rowOff>
    </xdr:from>
    <xdr:to>
      <xdr:col>20</xdr:col>
      <xdr:colOff>314325</xdr:colOff>
      <xdr:row>16</xdr:row>
      <xdr:rowOff>85725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590550</xdr:colOff>
      <xdr:row>8</xdr:row>
      <xdr:rowOff>95250</xdr:rowOff>
    </xdr:from>
    <xdr:to>
      <xdr:col>23</xdr:col>
      <xdr:colOff>9526</xdr:colOff>
      <xdr:row>10</xdr:row>
      <xdr:rowOff>38100</xdr:rowOff>
    </xdr:to>
    <xdr:sp macro="" textlink="">
      <xdr:nvSpPr>
        <xdr:cNvPr id="7" name="TextBox 6"/>
        <xdr:cNvSpPr txBox="1"/>
      </xdr:nvSpPr>
      <xdr:spPr>
        <a:xfrm>
          <a:off x="8963025" y="11620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Retail</a:t>
          </a:r>
        </a:p>
      </xdr:txBody>
    </xdr:sp>
    <xdr:clientData/>
  </xdr:twoCellAnchor>
  <xdr:twoCellAnchor>
    <xdr:from>
      <xdr:col>20</xdr:col>
      <xdr:colOff>571500</xdr:colOff>
      <xdr:row>10</xdr:row>
      <xdr:rowOff>128588</xdr:rowOff>
    </xdr:from>
    <xdr:to>
      <xdr:col>22</xdr:col>
      <xdr:colOff>742951</xdr:colOff>
      <xdr:row>12</xdr:row>
      <xdr:rowOff>42863</xdr:rowOff>
    </xdr:to>
    <xdr:sp macro="" textlink="">
      <xdr:nvSpPr>
        <xdr:cNvPr id="12" name="TextBox 11"/>
        <xdr:cNvSpPr txBox="1"/>
      </xdr:nvSpPr>
      <xdr:spPr>
        <a:xfrm>
          <a:off x="8943975" y="1681163"/>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Institutional</a:t>
          </a:r>
        </a:p>
      </xdr:txBody>
    </xdr:sp>
    <xdr:clientData/>
  </xdr:twoCellAnchor>
  <xdr:twoCellAnchor>
    <xdr:from>
      <xdr:col>20</xdr:col>
      <xdr:colOff>581025</xdr:colOff>
      <xdr:row>12</xdr:row>
      <xdr:rowOff>114300</xdr:rowOff>
    </xdr:from>
    <xdr:to>
      <xdr:col>23</xdr:col>
      <xdr:colOff>1</xdr:colOff>
      <xdr:row>14</xdr:row>
      <xdr:rowOff>57150</xdr:rowOff>
    </xdr:to>
    <xdr:sp macro="" textlink="">
      <xdr:nvSpPr>
        <xdr:cNvPr id="13" name="TextBox 12"/>
        <xdr:cNvSpPr txBox="1"/>
      </xdr:nvSpPr>
      <xdr:spPr>
        <a:xfrm>
          <a:off x="8953500" y="201930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Insider</a:t>
          </a:r>
        </a:p>
      </xdr:txBody>
    </xdr:sp>
    <xdr:clientData/>
  </xdr:twoCellAnchor>
  <xdr:twoCellAnchor>
    <xdr:from>
      <xdr:col>20</xdr:col>
      <xdr:colOff>390524</xdr:colOff>
      <xdr:row>9</xdr:row>
      <xdr:rowOff>9525</xdr:rowOff>
    </xdr:from>
    <xdr:to>
      <xdr:col>20</xdr:col>
      <xdr:colOff>552450</xdr:colOff>
      <xdr:row>10</xdr:row>
      <xdr:rowOff>9525</xdr:rowOff>
    </xdr:to>
    <xdr:sp macro="" textlink="">
      <xdr:nvSpPr>
        <xdr:cNvPr id="11" name="Rounded Rectangle 10"/>
        <xdr:cNvSpPr/>
      </xdr:nvSpPr>
      <xdr:spPr>
        <a:xfrm>
          <a:off x="8762999" y="1238250"/>
          <a:ext cx="161926" cy="161925"/>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11</xdr:row>
      <xdr:rowOff>33338</xdr:rowOff>
    </xdr:from>
    <xdr:to>
      <xdr:col>20</xdr:col>
      <xdr:colOff>552450</xdr:colOff>
      <xdr:row>12</xdr:row>
      <xdr:rowOff>4763</xdr:rowOff>
    </xdr:to>
    <xdr:sp macro="" textlink="">
      <xdr:nvSpPr>
        <xdr:cNvPr id="15" name="Rounded Rectangle 14"/>
        <xdr:cNvSpPr/>
      </xdr:nvSpPr>
      <xdr:spPr>
        <a:xfrm>
          <a:off x="8762999" y="1585913"/>
          <a:ext cx="161926" cy="161925"/>
        </a:xfrm>
        <a:prstGeom prst="roundRect">
          <a:avLst/>
        </a:prstGeom>
        <a:solidFill>
          <a:srgbClr val="0039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13</xdr:row>
      <xdr:rowOff>28575</xdr:rowOff>
    </xdr:from>
    <xdr:to>
      <xdr:col>20</xdr:col>
      <xdr:colOff>552450</xdr:colOff>
      <xdr:row>14</xdr:row>
      <xdr:rowOff>28575</xdr:rowOff>
    </xdr:to>
    <xdr:sp macro="" textlink="">
      <xdr:nvSpPr>
        <xdr:cNvPr id="16" name="Rounded Rectangle 15"/>
        <xdr:cNvSpPr/>
      </xdr:nvSpPr>
      <xdr:spPr>
        <a:xfrm>
          <a:off x="8762999" y="1933575"/>
          <a:ext cx="161926" cy="161925"/>
        </a:xfrm>
        <a:prstGeom prst="roundRect">
          <a:avLst/>
        </a:prstGeom>
        <a:solidFill>
          <a:srgbClr val="B9D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209551</xdr:colOff>
      <xdr:row>8</xdr:row>
      <xdr:rowOff>9526</xdr:rowOff>
    </xdr:from>
    <xdr:to>
      <xdr:col>5</xdr:col>
      <xdr:colOff>419100</xdr:colOff>
      <xdr:row>9</xdr:row>
      <xdr:rowOff>104775</xdr:rowOff>
    </xdr:to>
    <xdr:cxnSp macro="">
      <xdr:nvCxnSpPr>
        <xdr:cNvPr id="21" name="Straight Arrow Connector 20"/>
        <xdr:cNvCxnSpPr/>
      </xdr:nvCxnSpPr>
      <xdr:spPr>
        <a:xfrm>
          <a:off x="952501" y="1076326"/>
          <a:ext cx="1657349" cy="257174"/>
        </a:xfrm>
        <a:prstGeom prst="straightConnector1">
          <a:avLst/>
        </a:prstGeom>
        <a:ln>
          <a:solidFill>
            <a:srgbClr val="0039A6"/>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xdr:col>
      <xdr:colOff>516307</xdr:colOff>
      <xdr:row>8</xdr:row>
      <xdr:rowOff>34534</xdr:rowOff>
    </xdr:from>
    <xdr:to>
      <xdr:col>5</xdr:col>
      <xdr:colOff>56604</xdr:colOff>
      <xdr:row>9</xdr:row>
      <xdr:rowOff>105388</xdr:rowOff>
    </xdr:to>
    <xdr:sp macro="" textlink="">
      <xdr:nvSpPr>
        <xdr:cNvPr id="22" name="TextBox 21"/>
        <xdr:cNvSpPr txBox="1"/>
      </xdr:nvSpPr>
      <xdr:spPr>
        <a:xfrm rot="535861">
          <a:off x="1259257" y="1101334"/>
          <a:ext cx="988097" cy="232779"/>
        </a:xfrm>
        <a:prstGeom prst="rect">
          <a:avLst/>
        </a:prstGeom>
        <a:solidFill>
          <a:schemeClr val="lt1"/>
        </a:solidFill>
        <a:ln w="9525" cmpd="sng">
          <a:solidFill>
            <a:srgbClr val="0039A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CAGR:</a:t>
          </a:r>
          <a:r>
            <a:rPr lang="en-US" sz="900" baseline="0">
              <a:latin typeface="Montserrat Medium" panose="00000600000000000000" pitchFamily="2" charset="0"/>
            </a:rPr>
            <a:t> -9.13%</a:t>
          </a:r>
          <a:endParaRPr lang="en-US" sz="900">
            <a:latin typeface="Montserrat Medium" panose="00000600000000000000" pitchFamily="2" charset="0"/>
          </a:endParaRPr>
        </a:p>
      </xdr:txBody>
    </xdr:sp>
    <xdr:clientData/>
  </xdr:twoCellAnchor>
  <xdr:twoCellAnchor>
    <xdr:from>
      <xdr:col>25</xdr:col>
      <xdr:colOff>57151</xdr:colOff>
      <xdr:row>7</xdr:row>
      <xdr:rowOff>0</xdr:rowOff>
    </xdr:from>
    <xdr:to>
      <xdr:col>26</xdr:col>
      <xdr:colOff>66675</xdr:colOff>
      <xdr:row>16</xdr:row>
      <xdr:rowOff>142876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1000125</xdr:colOff>
      <xdr:row>8</xdr:row>
      <xdr:rowOff>0</xdr:rowOff>
    </xdr:from>
    <xdr:to>
      <xdr:col>27</xdr:col>
      <xdr:colOff>819150</xdr:colOff>
      <xdr:row>9</xdr:row>
      <xdr:rowOff>104775</xdr:rowOff>
    </xdr:to>
    <xdr:sp macro="" textlink="">
      <xdr:nvSpPr>
        <xdr:cNvPr id="25" name="TextBox 24"/>
        <xdr:cNvSpPr txBox="1"/>
      </xdr:nvSpPr>
      <xdr:spPr>
        <a:xfrm>
          <a:off x="11001375" y="1066800"/>
          <a:ext cx="10287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25</xdr:col>
      <xdr:colOff>1000125</xdr:colOff>
      <xdr:row>10</xdr:row>
      <xdr:rowOff>15875</xdr:rowOff>
    </xdr:from>
    <xdr:to>
      <xdr:col>27</xdr:col>
      <xdr:colOff>1114425</xdr:colOff>
      <xdr:row>11</xdr:row>
      <xdr:rowOff>120650</xdr:rowOff>
    </xdr:to>
    <xdr:sp macro="" textlink="">
      <xdr:nvSpPr>
        <xdr:cNvPr id="26" name="TextBox 25"/>
        <xdr:cNvSpPr txBox="1"/>
      </xdr:nvSpPr>
      <xdr:spPr>
        <a:xfrm>
          <a:off x="11001375" y="1406525"/>
          <a:ext cx="1323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25</xdr:col>
      <xdr:colOff>1000125</xdr:colOff>
      <xdr:row>12</xdr:row>
      <xdr:rowOff>3175</xdr:rowOff>
    </xdr:from>
    <xdr:to>
      <xdr:col>27</xdr:col>
      <xdr:colOff>666751</xdr:colOff>
      <xdr:row>13</xdr:row>
      <xdr:rowOff>107950</xdr:rowOff>
    </xdr:to>
    <xdr:sp macro="" textlink="">
      <xdr:nvSpPr>
        <xdr:cNvPr id="27" name="TextBox 26"/>
        <xdr:cNvSpPr txBox="1"/>
      </xdr:nvSpPr>
      <xdr:spPr>
        <a:xfrm>
          <a:off x="11001375" y="17462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25</xdr:col>
      <xdr:colOff>1000125</xdr:colOff>
      <xdr:row>14</xdr:row>
      <xdr:rowOff>19050</xdr:rowOff>
    </xdr:from>
    <xdr:to>
      <xdr:col>27</xdr:col>
      <xdr:colOff>666751</xdr:colOff>
      <xdr:row>15</xdr:row>
      <xdr:rowOff>95250</xdr:rowOff>
    </xdr:to>
    <xdr:sp macro="" textlink="">
      <xdr:nvSpPr>
        <xdr:cNvPr id="31" name="TextBox 30"/>
        <xdr:cNvSpPr txBox="1"/>
      </xdr:nvSpPr>
      <xdr:spPr>
        <a:xfrm>
          <a:off x="11001375" y="208597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1</xdr:col>
      <xdr:colOff>38100</xdr:colOff>
      <xdr:row>19</xdr:row>
      <xdr:rowOff>19050</xdr:rowOff>
    </xdr:from>
    <xdr:to>
      <xdr:col>5</xdr:col>
      <xdr:colOff>533400</xdr:colOff>
      <xdr:row>29</xdr:row>
      <xdr:rowOff>152399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47625</xdr:colOff>
      <xdr:row>19</xdr:row>
      <xdr:rowOff>9525</xdr:rowOff>
    </xdr:from>
    <xdr:to>
      <xdr:col>25</xdr:col>
      <xdr:colOff>85724</xdr:colOff>
      <xdr:row>31</xdr:row>
      <xdr:rowOff>9525</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600075</xdr:colOff>
      <xdr:row>25</xdr:row>
      <xdr:rowOff>66675</xdr:rowOff>
    </xdr:from>
    <xdr:to>
      <xdr:col>23</xdr:col>
      <xdr:colOff>19051</xdr:colOff>
      <xdr:row>27</xdr:row>
      <xdr:rowOff>9525</xdr:rowOff>
    </xdr:to>
    <xdr:sp macro="" textlink="">
      <xdr:nvSpPr>
        <xdr:cNvPr id="50" name="TextBox 49"/>
        <xdr:cNvSpPr txBox="1"/>
      </xdr:nvSpPr>
      <xdr:spPr>
        <a:xfrm>
          <a:off x="8972550" y="38290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ROIC</a:t>
          </a:r>
          <a:r>
            <a:rPr lang="en-US" sz="1100" baseline="0">
              <a:latin typeface="Catamaran" pitchFamily="2" charset="0"/>
              <a:cs typeface="Catamaran" pitchFamily="2" charset="0"/>
            </a:rPr>
            <a:t> %</a:t>
          </a:r>
          <a:endParaRPr lang="en-US" sz="1100">
            <a:latin typeface="Catamaran" pitchFamily="2" charset="0"/>
            <a:cs typeface="Catamaran" pitchFamily="2" charset="0"/>
          </a:endParaRPr>
        </a:p>
      </xdr:txBody>
    </xdr:sp>
    <xdr:clientData/>
  </xdr:twoCellAnchor>
  <xdr:twoCellAnchor>
    <xdr:from>
      <xdr:col>21</xdr:col>
      <xdr:colOff>0</xdr:colOff>
      <xdr:row>26</xdr:row>
      <xdr:rowOff>114300</xdr:rowOff>
    </xdr:from>
    <xdr:to>
      <xdr:col>24</xdr:col>
      <xdr:colOff>9525</xdr:colOff>
      <xdr:row>28</xdr:row>
      <xdr:rowOff>57150</xdr:rowOff>
    </xdr:to>
    <xdr:sp macro="" textlink="">
      <xdr:nvSpPr>
        <xdr:cNvPr id="51" name="TextBox 50"/>
        <xdr:cNvSpPr txBox="1"/>
      </xdr:nvSpPr>
      <xdr:spPr>
        <a:xfrm>
          <a:off x="8982075" y="4038600"/>
          <a:ext cx="942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EBIT Margin</a:t>
          </a:r>
        </a:p>
      </xdr:txBody>
    </xdr:sp>
    <xdr:clientData/>
  </xdr:twoCellAnchor>
  <xdr:twoCellAnchor>
    <xdr:from>
      <xdr:col>20</xdr:col>
      <xdr:colOff>390524</xdr:colOff>
      <xdr:row>25</xdr:row>
      <xdr:rowOff>133350</xdr:rowOff>
    </xdr:from>
    <xdr:to>
      <xdr:col>20</xdr:col>
      <xdr:colOff>552450</xdr:colOff>
      <xdr:row>26</xdr:row>
      <xdr:rowOff>133350</xdr:rowOff>
    </xdr:to>
    <xdr:sp macro="" textlink="">
      <xdr:nvSpPr>
        <xdr:cNvPr id="52" name="Rounded Rectangle 51"/>
        <xdr:cNvSpPr/>
      </xdr:nvSpPr>
      <xdr:spPr>
        <a:xfrm>
          <a:off x="8762999" y="3895725"/>
          <a:ext cx="161926" cy="161925"/>
        </a:xfrm>
        <a:prstGeom prst="roundRect">
          <a:avLst/>
        </a:prstGeom>
        <a:solidFill>
          <a:srgbClr val="0039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27</xdr:row>
      <xdr:rowOff>28575</xdr:rowOff>
    </xdr:from>
    <xdr:to>
      <xdr:col>20</xdr:col>
      <xdr:colOff>552450</xdr:colOff>
      <xdr:row>28</xdr:row>
      <xdr:rowOff>28575</xdr:rowOff>
    </xdr:to>
    <xdr:sp macro="" textlink="">
      <xdr:nvSpPr>
        <xdr:cNvPr id="53" name="Rounded Rectangle 52"/>
        <xdr:cNvSpPr/>
      </xdr:nvSpPr>
      <xdr:spPr>
        <a:xfrm>
          <a:off x="8762999" y="4114800"/>
          <a:ext cx="161926" cy="161925"/>
        </a:xfrm>
        <a:prstGeom prst="roundRect">
          <a:avLst/>
        </a:prstGeom>
        <a:solidFill>
          <a:srgbClr val="B9D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133353</xdr:colOff>
      <xdr:row>7</xdr:row>
      <xdr:rowOff>95251</xdr:rowOff>
    </xdr:from>
    <xdr:to>
      <xdr:col>14</xdr:col>
      <xdr:colOff>609601</xdr:colOff>
      <xdr:row>8</xdr:row>
      <xdr:rowOff>142874</xdr:rowOff>
    </xdr:to>
    <xdr:sp macro="" textlink="">
      <xdr:nvSpPr>
        <xdr:cNvPr id="54" name="TextBox 53"/>
        <xdr:cNvSpPr txBox="1"/>
      </xdr:nvSpPr>
      <xdr:spPr>
        <a:xfrm>
          <a:off x="4953003" y="971551"/>
          <a:ext cx="1790698" cy="238123"/>
        </a:xfrm>
        <a:prstGeom prst="rect">
          <a:avLst/>
        </a:prstGeom>
        <a:solidFill>
          <a:schemeClr val="lt1"/>
        </a:solidFill>
        <a:ln w="9525" cmpd="sng">
          <a:solidFill>
            <a:srgbClr val="0039A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Median EBIT Margin:</a:t>
          </a:r>
          <a:r>
            <a:rPr lang="en-US" sz="900" baseline="0">
              <a:latin typeface="Montserrat Medium" panose="00000600000000000000" pitchFamily="2" charset="0"/>
            </a:rPr>
            <a:t> -5.93%</a:t>
          </a:r>
          <a:endParaRPr lang="en-US" sz="900">
            <a:latin typeface="Montserrat Medium" panose="00000600000000000000" pitchFamily="2" charset="0"/>
          </a:endParaRPr>
        </a:p>
      </xdr:txBody>
    </xdr:sp>
    <xdr:clientData/>
  </xdr:twoCellAnchor>
  <xdr:twoCellAnchor>
    <xdr:from>
      <xdr:col>5</xdr:col>
      <xdr:colOff>590550</xdr:colOff>
      <xdr:row>19</xdr:row>
      <xdr:rowOff>9524</xdr:rowOff>
    </xdr:from>
    <xdr:to>
      <xdr:col>14</xdr:col>
      <xdr:colOff>685800</xdr:colOff>
      <xdr:row>31</xdr:row>
      <xdr:rowOff>28575</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476250</xdr:colOff>
      <xdr:row>19</xdr:row>
      <xdr:rowOff>152400</xdr:rowOff>
    </xdr:from>
    <xdr:to>
      <xdr:col>13</xdr:col>
      <xdr:colOff>476250</xdr:colOff>
      <xdr:row>30</xdr:row>
      <xdr:rowOff>85725</xdr:rowOff>
    </xdr:to>
    <xdr:cxnSp macro="">
      <xdr:nvCxnSpPr>
        <xdr:cNvPr id="4" name="Straight Connector 3"/>
        <xdr:cNvCxnSpPr/>
      </xdr:nvCxnSpPr>
      <xdr:spPr>
        <a:xfrm>
          <a:off x="6000750" y="2943225"/>
          <a:ext cx="0" cy="1714500"/>
        </a:xfrm>
        <a:prstGeom prst="line">
          <a:avLst/>
        </a:prstGeom>
        <a:ln w="19050">
          <a:solidFill>
            <a:schemeClr val="tx1">
              <a:lumMod val="75000"/>
              <a:lumOff val="2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119062</xdr:colOff>
      <xdr:row>1</xdr:row>
      <xdr:rowOff>123825</xdr:rowOff>
    </xdr:from>
    <xdr:to>
      <xdr:col>3</xdr:col>
      <xdr:colOff>23812</xdr:colOff>
      <xdr:row>3</xdr:row>
      <xdr:rowOff>28575</xdr:rowOff>
    </xdr:to>
    <xdr:pic>
      <xdr:nvPicPr>
        <xdr:cNvPr id="3" name="Picture 2"/>
        <xdr:cNvPicPr>
          <a:picLocks noChangeAspect="1"/>
        </xdr:cNvPicPr>
      </xdr:nvPicPr>
      <xdr:blipFill rotWithShape="1">
        <a:blip xmlns:r="http://schemas.openxmlformats.org/officeDocument/2006/relationships" r:embed="rId8"/>
        <a:srcRect l="11184" t="28903" r="11184" b="29807"/>
        <a:stretch/>
      </xdr:blipFill>
      <xdr:spPr>
        <a:xfrm>
          <a:off x="252412" y="190500"/>
          <a:ext cx="1123950" cy="285750"/>
        </a:xfrm>
        <a:prstGeom prst="rect">
          <a:avLst/>
        </a:prstGeom>
      </xdr:spPr>
    </xdr:pic>
    <xdr:clientData/>
  </xdr:twoCellAnchor>
  <xdr:twoCellAnchor editAs="oneCell">
    <xdr:from>
      <xdr:col>24</xdr:col>
      <xdr:colOff>5503</xdr:colOff>
      <xdr:row>19</xdr:row>
      <xdr:rowOff>57151</xdr:rowOff>
    </xdr:from>
    <xdr:to>
      <xdr:col>28</xdr:col>
      <xdr:colOff>9525</xdr:colOff>
      <xdr:row>30</xdr:row>
      <xdr:rowOff>0</xdr:rowOff>
    </xdr:to>
    <xdr:pic>
      <xdr:nvPicPr>
        <xdr:cNvPr id="2" name="Picture 1"/>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809" t="1695" r="809" b="2966"/>
        <a:stretch/>
      </xdr:blipFill>
      <xdr:spPr>
        <a:xfrm>
          <a:off x="9921028" y="2847976"/>
          <a:ext cx="2518622" cy="17240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19052</xdr:colOff>
      <xdr:row>1</xdr:row>
      <xdr:rowOff>114300</xdr:rowOff>
    </xdr:from>
    <xdr:to>
      <xdr:col>4</xdr:col>
      <xdr:colOff>828675</xdr:colOff>
      <xdr:row>44</xdr:row>
      <xdr:rowOff>76200</xdr:rowOff>
    </xdr:to>
    <xdr:sp macro="" textlink="">
      <xdr:nvSpPr>
        <xdr:cNvPr id="3" name="TextBox 2"/>
        <xdr:cNvSpPr txBox="1"/>
      </xdr:nvSpPr>
      <xdr:spPr>
        <a:xfrm>
          <a:off x="152402" y="314325"/>
          <a:ext cx="3895723" cy="651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Boeing is a multinational corporation that designs, manufactures, and sells airplanes, rockets, satellites, and other aerospace and defense-related products and services. Its business model can be summarized as follows: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Product Development: </a:t>
          </a:r>
          <a:r>
            <a:rPr lang="en-US" sz="1100" b="0" i="0">
              <a:solidFill>
                <a:schemeClr val="dk1"/>
              </a:solidFill>
              <a:effectLst/>
              <a:latin typeface="+mn-lt"/>
              <a:ea typeface="+mn-ea"/>
              <a:cs typeface="+mn-cs"/>
            </a:rPr>
            <a:t>Boeing invests heavily in research and development to design new products and improve existing ones. This involves creating new technologies and innovative products that meet the changing needs of its customers.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Manufacturing:</a:t>
          </a:r>
          <a:r>
            <a:rPr lang="en-US" sz="1100" b="0" i="0">
              <a:solidFill>
                <a:schemeClr val="dk1"/>
              </a:solidFill>
              <a:effectLst/>
              <a:latin typeface="+mn-lt"/>
              <a:ea typeface="+mn-ea"/>
              <a:cs typeface="+mn-cs"/>
            </a:rPr>
            <a:t> Boeing operates a global network of manufacturing facilities that produce commercial and military aircraft, as well as other aerospace products. It uses advanced manufacturing technologies to increase efficiency and reduce costs.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Sales and Marketing: </a:t>
          </a:r>
          <a:r>
            <a:rPr lang="en-US" sz="1100" b="0" i="0">
              <a:solidFill>
                <a:schemeClr val="dk1"/>
              </a:solidFill>
              <a:effectLst/>
              <a:latin typeface="+mn-lt"/>
              <a:ea typeface="+mn-ea"/>
              <a:cs typeface="+mn-cs"/>
            </a:rPr>
            <a:t>Boeing employs a range of sales and marketing strategies to promote its products and services to potential customers. This includes developing relationships with airlines, governments, and other organizations, as well as participating in trade shows and other industry events.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After-Sales Support:</a:t>
          </a:r>
          <a:r>
            <a:rPr lang="en-US" sz="1100" b="0" i="0">
              <a:solidFill>
                <a:schemeClr val="dk1"/>
              </a:solidFill>
              <a:effectLst/>
              <a:latin typeface="+mn-lt"/>
              <a:ea typeface="+mn-ea"/>
              <a:cs typeface="+mn-cs"/>
            </a:rPr>
            <a:t> Boeing provides comprehensive after-sales support to its customers, including maintenance, repair, and overhaul services. It also offers training programs to help customers operate and maintain their Boeing products.</a:t>
          </a:r>
        </a:p>
        <a:p>
          <a:endParaRPr lang="en-US" sz="1100" b="1" i="1">
            <a:solidFill>
              <a:schemeClr val="dk1"/>
            </a:solidFill>
            <a:effectLst/>
            <a:latin typeface="+mn-lt"/>
            <a:ea typeface="+mn-ea"/>
            <a:cs typeface="+mn-cs"/>
          </a:endParaRPr>
        </a:p>
        <a:p>
          <a:r>
            <a:rPr lang="en-US" sz="1100" b="1" i="1">
              <a:solidFill>
                <a:schemeClr val="dk1"/>
              </a:solidFill>
              <a:effectLst/>
              <a:latin typeface="+mn-lt"/>
              <a:ea typeface="+mn-ea"/>
              <a:cs typeface="+mn-cs"/>
            </a:rPr>
            <a:t>Supply Chain Management:</a:t>
          </a:r>
          <a:r>
            <a:rPr lang="en-US" sz="1100" b="0" i="0">
              <a:solidFill>
                <a:schemeClr val="dk1"/>
              </a:solidFill>
              <a:effectLst/>
              <a:latin typeface="+mn-lt"/>
              <a:ea typeface="+mn-ea"/>
              <a:cs typeface="+mn-cs"/>
            </a:rPr>
            <a:t> Boeing manages a complex global supply chain, working with suppliers and partners to ensure the timely delivery of high-quality components and materials.</a:t>
          </a:r>
        </a:p>
        <a:p>
          <a:endParaRPr lang="en-US" sz="1100" b="1" i="1">
            <a:solidFill>
              <a:schemeClr val="dk1"/>
            </a:solidFill>
            <a:effectLst/>
            <a:latin typeface="+mn-lt"/>
            <a:ea typeface="+mn-ea"/>
            <a:cs typeface="+mn-cs"/>
          </a:endParaRPr>
        </a:p>
        <a:p>
          <a:r>
            <a:rPr lang="en-US" sz="1100" b="1" i="1">
              <a:solidFill>
                <a:schemeClr val="dk1"/>
              </a:solidFill>
              <a:effectLst/>
              <a:latin typeface="+mn-lt"/>
              <a:ea typeface="+mn-ea"/>
              <a:cs typeface="+mn-cs"/>
            </a:rPr>
            <a:t>Financial Management: </a:t>
          </a:r>
          <a:r>
            <a:rPr lang="en-US" sz="1100" b="0" i="0">
              <a:solidFill>
                <a:schemeClr val="dk1"/>
              </a:solidFill>
              <a:effectLst/>
              <a:latin typeface="+mn-lt"/>
              <a:ea typeface="+mn-ea"/>
              <a:cs typeface="+mn-cs"/>
            </a:rPr>
            <a:t>Boeing manages its finances carefully, balancing its investments in research and development with the need to generate profits for its shareholders. It also manages risks associated with the aerospace and defense industry, such as fluctuations in fuel prices and changes in government regulations.</a:t>
          </a:r>
        </a:p>
      </xdr:txBody>
    </xdr:sp>
    <xdr:clientData/>
  </xdr:twoCellAnchor>
  <xdr:twoCellAnchor>
    <xdr:from>
      <xdr:col>4</xdr:col>
      <xdr:colOff>952502</xdr:colOff>
      <xdr:row>1</xdr:row>
      <xdr:rowOff>104774</xdr:rowOff>
    </xdr:from>
    <xdr:to>
      <xdr:col>10</xdr:col>
      <xdr:colOff>228600</xdr:colOff>
      <xdr:row>23</xdr:row>
      <xdr:rowOff>28576</xdr:rowOff>
    </xdr:to>
    <xdr:sp macro="" textlink="">
      <xdr:nvSpPr>
        <xdr:cNvPr id="4" name="TextBox 3"/>
        <xdr:cNvSpPr txBox="1"/>
      </xdr:nvSpPr>
      <xdr:spPr>
        <a:xfrm>
          <a:off x="4171952" y="304799"/>
          <a:ext cx="4114798" cy="32766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Strengths:</a:t>
          </a:r>
        </a:p>
        <a:p>
          <a:r>
            <a:rPr lang="en-US" sz="1100" b="0" i="0">
              <a:solidFill>
                <a:schemeClr val="dk1"/>
              </a:solidFill>
              <a:effectLst/>
              <a:latin typeface="+mn-lt"/>
              <a:ea typeface="+mn-ea"/>
              <a:cs typeface="+mn-cs"/>
            </a:rPr>
            <a:t>Strong brand recognition and reputation in the aerospace industry</a:t>
          </a:r>
        </a:p>
        <a:p>
          <a:r>
            <a:rPr lang="en-US" sz="1100" b="0" i="0">
              <a:solidFill>
                <a:schemeClr val="dk1"/>
              </a:solidFill>
              <a:effectLst/>
              <a:latin typeface="+mn-lt"/>
              <a:ea typeface="+mn-ea"/>
              <a:cs typeface="+mn-cs"/>
            </a:rPr>
            <a:t>Wide range of products and services, including commercial and military aircraft, satellites, and defense-related products</a:t>
          </a:r>
        </a:p>
        <a:p>
          <a:r>
            <a:rPr lang="en-US" sz="1100" b="0" i="0">
              <a:solidFill>
                <a:schemeClr val="dk1"/>
              </a:solidFill>
              <a:effectLst/>
              <a:latin typeface="+mn-lt"/>
              <a:ea typeface="+mn-ea"/>
              <a:cs typeface="+mn-cs"/>
            </a:rPr>
            <a:t>Strong research and development capabilities, leading to innovative new products and technologies</a:t>
          </a:r>
        </a:p>
        <a:p>
          <a:r>
            <a:rPr lang="en-US" sz="1100" b="0" i="0">
              <a:solidFill>
                <a:schemeClr val="dk1"/>
              </a:solidFill>
              <a:effectLst/>
              <a:latin typeface="+mn-lt"/>
              <a:ea typeface="+mn-ea"/>
              <a:cs typeface="+mn-cs"/>
            </a:rPr>
            <a:t>Large global footprint with manufacturing facilities and operations in many countries</a:t>
          </a:r>
        </a:p>
        <a:p>
          <a:r>
            <a:rPr lang="en-US" sz="1100" b="0" i="0">
              <a:solidFill>
                <a:schemeClr val="dk1"/>
              </a:solidFill>
              <a:effectLst/>
              <a:latin typeface="+mn-lt"/>
              <a:ea typeface="+mn-ea"/>
              <a:cs typeface="+mn-cs"/>
            </a:rPr>
            <a:t>Strong relationships with major customers, including airlines and governments</a:t>
          </a:r>
        </a:p>
        <a:p>
          <a:endParaRPr lang="en-US" sz="300" b="0" i="0">
            <a:solidFill>
              <a:schemeClr val="dk1"/>
            </a:solidFill>
            <a:effectLst/>
            <a:latin typeface="+mn-lt"/>
            <a:ea typeface="+mn-ea"/>
            <a:cs typeface="+mn-cs"/>
          </a:endParaRPr>
        </a:p>
        <a:p>
          <a:r>
            <a:rPr lang="en-US" sz="1100" b="1" i="1">
              <a:solidFill>
                <a:schemeClr val="dk1"/>
              </a:solidFill>
              <a:effectLst/>
              <a:latin typeface="+mn-lt"/>
              <a:ea typeface="+mn-ea"/>
              <a:cs typeface="+mn-cs"/>
            </a:rPr>
            <a:t>Weaknesses:</a:t>
          </a:r>
        </a:p>
        <a:p>
          <a:r>
            <a:rPr lang="en-US" sz="1100" b="0" i="0">
              <a:solidFill>
                <a:schemeClr val="dk1"/>
              </a:solidFill>
              <a:effectLst/>
              <a:latin typeface="+mn-lt"/>
              <a:ea typeface="+mn-ea"/>
              <a:cs typeface="+mn-cs"/>
            </a:rPr>
            <a:t>Dependence on the commercial airline industry, which can be subject to economic downturns and changes in consumer behavior</a:t>
          </a:r>
        </a:p>
        <a:p>
          <a:r>
            <a:rPr lang="en-US" sz="1100" b="0" i="0">
              <a:solidFill>
                <a:schemeClr val="dk1"/>
              </a:solidFill>
              <a:effectLst/>
              <a:latin typeface="+mn-lt"/>
              <a:ea typeface="+mn-ea"/>
              <a:cs typeface="+mn-cs"/>
            </a:rPr>
            <a:t>High level of competition in the aerospace industry, particularly from Airbus</a:t>
          </a:r>
        </a:p>
        <a:p>
          <a:r>
            <a:rPr lang="en-US" sz="1100" b="0" i="0">
              <a:solidFill>
                <a:schemeClr val="dk1"/>
              </a:solidFill>
              <a:effectLst/>
              <a:latin typeface="+mn-lt"/>
              <a:ea typeface="+mn-ea"/>
              <a:cs typeface="+mn-cs"/>
            </a:rPr>
            <a:t>High debt levels due to investments in new products and technologies.</a:t>
          </a:r>
        </a:p>
        <a:p>
          <a:r>
            <a:rPr lang="en-US" sz="1100" b="0" i="0">
              <a:solidFill>
                <a:schemeClr val="dk1"/>
              </a:solidFill>
              <a:effectLst/>
              <a:latin typeface="+mn-lt"/>
              <a:ea typeface="+mn-ea"/>
              <a:cs typeface="+mn-cs"/>
            </a:rPr>
            <a:t>Safety concerns and issues with the 737 MAX aircraft.</a:t>
          </a:r>
        </a:p>
      </xdr:txBody>
    </xdr:sp>
    <xdr:clientData/>
  </xdr:twoCellAnchor>
  <xdr:twoCellAnchor>
    <xdr:from>
      <xdr:col>10</xdr:col>
      <xdr:colOff>361951</xdr:colOff>
      <xdr:row>1</xdr:row>
      <xdr:rowOff>104774</xdr:rowOff>
    </xdr:from>
    <xdr:to>
      <xdr:col>16</xdr:col>
      <xdr:colOff>247649</xdr:colOff>
      <xdr:row>16</xdr:row>
      <xdr:rowOff>85725</xdr:rowOff>
    </xdr:to>
    <xdr:sp macro="" textlink="">
      <xdr:nvSpPr>
        <xdr:cNvPr id="5" name="TextBox 4"/>
        <xdr:cNvSpPr txBox="1"/>
      </xdr:nvSpPr>
      <xdr:spPr>
        <a:xfrm>
          <a:off x="8420101" y="304799"/>
          <a:ext cx="3971923" cy="2266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Opportunities:</a:t>
          </a:r>
        </a:p>
        <a:p>
          <a:r>
            <a:rPr lang="en-US" sz="1100" b="0" i="0">
              <a:solidFill>
                <a:schemeClr val="dk1"/>
              </a:solidFill>
              <a:effectLst/>
              <a:latin typeface="+mn-lt"/>
              <a:ea typeface="+mn-ea"/>
              <a:cs typeface="+mn-cs"/>
            </a:rPr>
            <a:t>Growing demand for commercial air travel in emerging markets</a:t>
          </a:r>
        </a:p>
        <a:p>
          <a:r>
            <a:rPr lang="en-US" sz="1100" b="0" i="0">
              <a:solidFill>
                <a:schemeClr val="dk1"/>
              </a:solidFill>
              <a:effectLst/>
              <a:latin typeface="+mn-lt"/>
              <a:ea typeface="+mn-ea"/>
              <a:cs typeface="+mn-cs"/>
            </a:rPr>
            <a:t>Expansion into the space exploration and tourism markets</a:t>
          </a:r>
        </a:p>
        <a:p>
          <a:r>
            <a:rPr lang="en-US" sz="1100" b="0" i="0">
              <a:solidFill>
                <a:schemeClr val="dk1"/>
              </a:solidFill>
              <a:effectLst/>
              <a:latin typeface="+mn-lt"/>
              <a:ea typeface="+mn-ea"/>
              <a:cs typeface="+mn-cs"/>
            </a:rPr>
            <a:t>Increasing demand for unmanned aerial vehicles (drones) for both military and civilian applications</a:t>
          </a:r>
        </a:p>
        <a:p>
          <a:r>
            <a:rPr lang="en-US" sz="1100" b="0" i="0">
              <a:solidFill>
                <a:schemeClr val="dk1"/>
              </a:solidFill>
              <a:effectLst/>
              <a:latin typeface="+mn-lt"/>
              <a:ea typeface="+mn-ea"/>
              <a:cs typeface="+mn-cs"/>
            </a:rPr>
            <a:t>Opportunities for growth through mergers and acquisitions</a:t>
          </a:r>
        </a:p>
        <a:p>
          <a:endParaRPr lang="en-US" sz="300" b="0" i="0">
            <a:solidFill>
              <a:schemeClr val="dk1"/>
            </a:solidFill>
            <a:effectLst/>
            <a:latin typeface="+mn-lt"/>
            <a:ea typeface="+mn-ea"/>
            <a:cs typeface="+mn-cs"/>
          </a:endParaRPr>
        </a:p>
        <a:p>
          <a:r>
            <a:rPr lang="en-US" sz="1100" b="1" i="1">
              <a:solidFill>
                <a:schemeClr val="dk1"/>
              </a:solidFill>
              <a:effectLst/>
              <a:latin typeface="+mn-lt"/>
              <a:ea typeface="+mn-ea"/>
              <a:cs typeface="+mn-cs"/>
            </a:rPr>
            <a:t>Threats:</a:t>
          </a:r>
        </a:p>
        <a:p>
          <a:r>
            <a:rPr lang="en-US" sz="1100" b="0" i="0">
              <a:solidFill>
                <a:schemeClr val="dk1"/>
              </a:solidFill>
              <a:effectLst/>
              <a:latin typeface="+mn-lt"/>
              <a:ea typeface="+mn-ea"/>
              <a:cs typeface="+mn-cs"/>
            </a:rPr>
            <a:t>Economic downturns and changes in consumer behavior affecting the commercial airline industry</a:t>
          </a:r>
        </a:p>
        <a:p>
          <a:r>
            <a:rPr lang="en-US" sz="1100" b="0" i="0">
              <a:solidFill>
                <a:schemeClr val="dk1"/>
              </a:solidFill>
              <a:effectLst/>
              <a:latin typeface="+mn-lt"/>
              <a:ea typeface="+mn-ea"/>
              <a:cs typeface="+mn-cs"/>
            </a:rPr>
            <a:t>Competition from Airbus and other aerospace companies</a:t>
          </a:r>
        </a:p>
        <a:p>
          <a:r>
            <a:rPr lang="en-US" sz="1100" b="0" i="0">
              <a:solidFill>
                <a:schemeClr val="dk1"/>
              </a:solidFill>
              <a:effectLst/>
              <a:latin typeface="+mn-lt"/>
              <a:ea typeface="+mn-ea"/>
              <a:cs typeface="+mn-cs"/>
            </a:rPr>
            <a:t>Government regulations and tariffs affecting international trade</a:t>
          </a:r>
        </a:p>
        <a:p>
          <a:r>
            <a:rPr lang="en-US" sz="1100" b="0" i="0">
              <a:solidFill>
                <a:schemeClr val="dk1"/>
              </a:solidFill>
              <a:effectLst/>
              <a:latin typeface="+mn-lt"/>
              <a:ea typeface="+mn-ea"/>
              <a:cs typeface="+mn-cs"/>
            </a:rPr>
            <a:t>Safety concerns and issues with the 737 MAX aircraft</a:t>
          </a:r>
          <a:r>
            <a:rPr lang="en-US" sz="800" b="1" i="0">
              <a:solidFill>
                <a:schemeClr val="dk1"/>
              </a:solidFill>
              <a:effectLst/>
              <a:latin typeface="Arial" panose="020B0604020202020204" pitchFamily="34" charset="0"/>
              <a:ea typeface="+mn-ea"/>
              <a:cs typeface="Arial" panose="020B0604020202020204" pitchFamily="34" charset="0"/>
            </a:rPr>
            <a:t>.</a:t>
          </a:r>
          <a:endParaRPr lang="en-US" sz="1100" b="0" i="0">
            <a:solidFill>
              <a:schemeClr val="dk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523875</xdr:colOff>
      <xdr:row>6</xdr:row>
      <xdr:rowOff>28575</xdr:rowOff>
    </xdr:to>
    <xdr:sp macro="" textlink="">
      <xdr:nvSpPr>
        <xdr:cNvPr id="3" name="TextBox 2"/>
        <xdr:cNvSpPr txBox="1"/>
      </xdr:nvSpPr>
      <xdr:spPr>
        <a:xfrm>
          <a:off x="2733675" y="352425"/>
          <a:ext cx="189547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(David L. Calhoun) of Boeing</a:t>
          </a:r>
          <a:r>
            <a:rPr lang="en-US" sz="1100" i="1" baseline="0"/>
            <a:t> is also the Member of Board of Directors.</a:t>
          </a:r>
          <a:endParaRPr lang="en-US" sz="1100" i="1"/>
        </a:p>
      </xdr:txBody>
    </xdr:sp>
    <xdr:clientData/>
  </xdr:twoCellAnchor>
  <xdr:twoCellAnchor>
    <xdr:from>
      <xdr:col>4</xdr:col>
      <xdr:colOff>1</xdr:colOff>
      <xdr:row>6</xdr:row>
      <xdr:rowOff>114301</xdr:rowOff>
    </xdr:from>
    <xdr:to>
      <xdr:col>5</xdr:col>
      <xdr:colOff>542924</xdr:colOff>
      <xdr:row>11</xdr:row>
      <xdr:rowOff>0</xdr:rowOff>
    </xdr:to>
    <xdr:sp macro="" textlink="">
      <xdr:nvSpPr>
        <xdr:cNvPr id="5" name="TextBox 4"/>
        <xdr:cNvSpPr txBox="1"/>
      </xdr:nvSpPr>
      <xdr:spPr>
        <a:xfrm>
          <a:off x="2733676" y="1085851"/>
          <a:ext cx="1914523" cy="647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Boeing's ISS Governance Quality Score is as of </a:t>
          </a:r>
          <a:r>
            <a:rPr lang="en-US" sz="1100" b="0" i="1">
              <a:solidFill>
                <a:schemeClr val="dk1"/>
              </a:solidFill>
              <a:effectLst/>
              <a:latin typeface="+mn-lt"/>
              <a:ea typeface="+mn-ea"/>
              <a:cs typeface="+mn-cs"/>
            </a:rPr>
            <a:t>February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95251</xdr:colOff>
      <xdr:row>2</xdr:row>
      <xdr:rowOff>38100</xdr:rowOff>
    </xdr:from>
    <xdr:to>
      <xdr:col>5</xdr:col>
      <xdr:colOff>342900</xdr:colOff>
      <xdr:row>6</xdr:row>
      <xdr:rowOff>114299</xdr:rowOff>
    </xdr:to>
    <xdr:sp macro="" textlink="">
      <xdr:nvSpPr>
        <xdr:cNvPr id="17" name="TextBox 16"/>
        <xdr:cNvSpPr txBox="1"/>
      </xdr:nvSpPr>
      <xdr:spPr>
        <a:xfrm>
          <a:off x="2657476" y="390525"/>
          <a:ext cx="1571624" cy="685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Annual revenues are from 2022 annual</a:t>
          </a:r>
          <a:r>
            <a:rPr lang="en-US" sz="1100" b="0" i="1" u="none" strike="noStrike" baseline="0">
              <a:solidFill>
                <a:schemeClr val="dk1"/>
              </a:solidFill>
              <a:effectLst/>
              <a:latin typeface="+mn-lt"/>
              <a:ea typeface="+mn-ea"/>
              <a:cs typeface="+mn-cs"/>
            </a:rPr>
            <a:t> report.</a:t>
          </a:r>
          <a:endParaRPr lang="en-US" sz="1100" b="0" i="0" u="none" strike="noStrike" baseline="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152400</xdr:colOff>
      <xdr:row>4</xdr:row>
      <xdr:rowOff>9526</xdr:rowOff>
    </xdr:from>
    <xdr:to>
      <xdr:col>19</xdr:col>
      <xdr:colOff>85725</xdr:colOff>
      <xdr:row>10</xdr:row>
      <xdr:rowOff>85726</xdr:rowOff>
    </xdr:to>
    <xdr:sp macro="" textlink="">
      <xdr:nvSpPr>
        <xdr:cNvPr id="2" name="TextBox 1"/>
        <xdr:cNvSpPr txBox="1"/>
      </xdr:nvSpPr>
      <xdr:spPr>
        <a:xfrm>
          <a:off x="12573000" y="666751"/>
          <a:ext cx="289560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marketcap.py - To get market cap</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sales_adexp.py - to get the latest revenues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438154</xdr:colOff>
      <xdr:row>23</xdr:row>
      <xdr:rowOff>28574</xdr:rowOff>
    </xdr:from>
    <xdr:to>
      <xdr:col>3</xdr:col>
      <xdr:colOff>704854</xdr:colOff>
      <xdr:row>27</xdr:row>
      <xdr:rowOff>76199</xdr:rowOff>
    </xdr:to>
    <xdr:sp macro="" textlink="">
      <xdr:nvSpPr>
        <xdr:cNvPr id="2" name="TextBox 1"/>
        <xdr:cNvSpPr txBox="1"/>
      </xdr:nvSpPr>
      <xdr:spPr>
        <a:xfrm rot="16200000">
          <a:off x="2862266" y="3328987"/>
          <a:ext cx="657225"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OPM %</a:t>
          </a:r>
        </a:p>
      </xdr:txBody>
    </xdr:sp>
    <xdr:clientData/>
  </xdr:twoCellAnchor>
  <xdr:twoCellAnchor>
    <xdr:from>
      <xdr:col>6</xdr:col>
      <xdr:colOff>19050</xdr:colOff>
      <xdr:row>18</xdr:row>
      <xdr:rowOff>123825</xdr:rowOff>
    </xdr:from>
    <xdr:to>
      <xdr:col>7</xdr:col>
      <xdr:colOff>514350</xdr:colOff>
      <xdr:row>20</xdr:row>
      <xdr:rowOff>76200</xdr:rowOff>
    </xdr:to>
    <xdr:sp macro="" textlink="">
      <xdr:nvSpPr>
        <xdr:cNvPr id="3" name="TextBox 2"/>
        <xdr:cNvSpPr txBox="1"/>
      </xdr:nvSpPr>
      <xdr:spPr>
        <a:xfrm>
          <a:off x="4981575" y="2924175"/>
          <a:ext cx="127635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Growth %</a:t>
          </a:r>
        </a:p>
      </xdr:txBody>
    </xdr:sp>
    <xdr:clientData/>
  </xdr:twoCellAnchor>
  <xdr:twoCellAnchor>
    <xdr:from>
      <xdr:col>9</xdr:col>
      <xdr:colOff>438154</xdr:colOff>
      <xdr:row>23</xdr:row>
      <xdr:rowOff>19050</xdr:rowOff>
    </xdr:from>
    <xdr:to>
      <xdr:col>9</xdr:col>
      <xdr:colOff>704854</xdr:colOff>
      <xdr:row>27</xdr:row>
      <xdr:rowOff>123826</xdr:rowOff>
    </xdr:to>
    <xdr:sp macro="" textlink="">
      <xdr:nvSpPr>
        <xdr:cNvPr id="4" name="TextBox 3"/>
        <xdr:cNvSpPr txBox="1"/>
      </xdr:nvSpPr>
      <xdr:spPr>
        <a:xfrm rot="16200000">
          <a:off x="7519991" y="3043238"/>
          <a:ext cx="71437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WACC  %</a:t>
          </a:r>
        </a:p>
      </xdr:txBody>
    </xdr:sp>
    <xdr:clientData/>
  </xdr:twoCellAnchor>
  <xdr:twoCellAnchor>
    <xdr:from>
      <xdr:col>11</xdr:col>
      <xdr:colOff>742950</xdr:colOff>
      <xdr:row>18</xdr:row>
      <xdr:rowOff>123825</xdr:rowOff>
    </xdr:from>
    <xdr:to>
      <xdr:col>13</xdr:col>
      <xdr:colOff>571500</xdr:colOff>
      <xdr:row>20</xdr:row>
      <xdr:rowOff>76200</xdr:rowOff>
    </xdr:to>
    <xdr:sp macro="" textlink="">
      <xdr:nvSpPr>
        <xdr:cNvPr id="5" name="TextBox 4"/>
        <xdr:cNvSpPr txBox="1"/>
      </xdr:nvSpPr>
      <xdr:spPr>
        <a:xfrm>
          <a:off x="9610725" y="2924175"/>
          <a:ext cx="127635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Growth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9524</xdr:colOff>
      <xdr:row>3</xdr:row>
      <xdr:rowOff>66675</xdr:rowOff>
    </xdr:from>
    <xdr:to>
      <xdr:col>10</xdr:col>
      <xdr:colOff>9525</xdr:colOff>
      <xdr:row>5</xdr:row>
      <xdr:rowOff>28575</xdr:rowOff>
    </xdr:to>
    <xdr:sp macro="" textlink="">
      <xdr:nvSpPr>
        <xdr:cNvPr id="6" name="TextBox 5"/>
        <xdr:cNvSpPr txBox="1"/>
      </xdr:nvSpPr>
      <xdr:spPr>
        <a:xfrm>
          <a:off x="142874" y="581025"/>
          <a:ext cx="679132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BA have negative revenue growth in the coming years? (Unexpected result? Nah!)</a:t>
          </a:r>
          <a:endParaRPr lang="en-US" sz="1100" i="1"/>
        </a:p>
      </xdr:txBody>
    </xdr:sp>
    <xdr:clientData/>
  </xdr:twoCellAnchor>
  <xdr:twoCellAnchor>
    <xdr:from>
      <xdr:col>3</xdr:col>
      <xdr:colOff>123825</xdr:colOff>
      <xdr:row>6</xdr:row>
      <xdr:rowOff>19049</xdr:rowOff>
    </xdr:from>
    <xdr:to>
      <xdr:col>5</xdr:col>
      <xdr:colOff>276225</xdr:colOff>
      <xdr:row>10</xdr:row>
      <xdr:rowOff>9524</xdr:rowOff>
    </xdr:to>
    <xdr:sp macro="" textlink="">
      <xdr:nvSpPr>
        <xdr:cNvPr id="7" name="TextBox 6"/>
        <xdr:cNvSpPr txBox="1"/>
      </xdr:nvSpPr>
      <xdr:spPr>
        <a:xfrm>
          <a:off x="2028825" y="990599"/>
          <a:ext cx="171450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r>
            <a:rPr lang="en-US" sz="1800" b="1" i="0" u="none" strike="noStrike">
              <a:solidFill>
                <a:schemeClr val="dk1"/>
              </a:solidFill>
              <a:effectLst/>
              <a:latin typeface="+mn-lt"/>
              <a:ea typeface="+mn-ea"/>
              <a:cs typeface="+mn-cs"/>
            </a:rPr>
            <a:t>$</a:t>
          </a:r>
          <a:r>
            <a:rPr lang="en-US" sz="2000" b="1" i="0"/>
            <a:t>21.71/share</a:t>
          </a:r>
          <a:endParaRPr lang="en-US" sz="1100" i="1"/>
        </a:p>
      </xdr:txBody>
    </xdr:sp>
    <xdr:clientData/>
  </xdr:twoCellAnchor>
  <xdr:twoCellAnchor>
    <xdr:from>
      <xdr:col>1</xdr:col>
      <xdr:colOff>9524</xdr:colOff>
      <xdr:row>12</xdr:row>
      <xdr:rowOff>76200</xdr:rowOff>
    </xdr:from>
    <xdr:to>
      <xdr:col>9</xdr:col>
      <xdr:colOff>333374</xdr:colOff>
      <xdr:row>14</xdr:row>
      <xdr:rowOff>38100</xdr:rowOff>
    </xdr:to>
    <xdr:sp macro="" textlink="">
      <xdr:nvSpPr>
        <xdr:cNvPr id="8" name="TextBox 7"/>
        <xdr:cNvSpPr txBox="1"/>
      </xdr:nvSpPr>
      <xdr:spPr>
        <a:xfrm>
          <a:off x="142874" y="1962150"/>
          <a:ext cx="67818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BA becomes a more risky company than it is now, by taking on more debt?</a:t>
          </a:r>
          <a:endParaRPr lang="en-US" sz="1100" i="1"/>
        </a:p>
      </xdr:txBody>
    </xdr:sp>
    <xdr:clientData/>
  </xdr:twoCellAnchor>
  <xdr:twoCellAnchor>
    <xdr:from>
      <xdr:col>3</xdr:col>
      <xdr:colOff>123825</xdr:colOff>
      <xdr:row>15</xdr:row>
      <xdr:rowOff>19049</xdr:rowOff>
    </xdr:from>
    <xdr:to>
      <xdr:col>5</xdr:col>
      <xdr:colOff>266700</xdr:colOff>
      <xdr:row>19</xdr:row>
      <xdr:rowOff>9524</xdr:rowOff>
    </xdr:to>
    <xdr:sp macro="" textlink="">
      <xdr:nvSpPr>
        <xdr:cNvPr id="9" name="TextBox 8"/>
        <xdr:cNvSpPr txBox="1"/>
      </xdr:nvSpPr>
      <xdr:spPr>
        <a:xfrm>
          <a:off x="2028825" y="2362199"/>
          <a:ext cx="1704975"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endParaRPr lang="en-US" sz="1800" b="1" i="0" u="none" strike="noStrike">
            <a:solidFill>
              <a:schemeClr val="dk1"/>
            </a:solidFill>
            <a:effectLst/>
            <a:latin typeface="+mn-lt"/>
            <a:ea typeface="+mn-ea"/>
            <a:cs typeface="+mn-cs"/>
          </a:endParaRPr>
        </a:p>
        <a:p>
          <a:r>
            <a:rPr lang="en-US" sz="1800" b="1" i="0" u="none" strike="noStrike">
              <a:solidFill>
                <a:schemeClr val="dk1"/>
              </a:solidFill>
              <a:effectLst/>
              <a:latin typeface="+mn-lt"/>
              <a:ea typeface="+mn-ea"/>
              <a:cs typeface="+mn-cs"/>
            </a:rPr>
            <a:t>-$</a:t>
          </a:r>
          <a:r>
            <a:rPr lang="en-US" sz="2000" b="1" i="0"/>
            <a:t>3.63/share</a:t>
          </a:r>
          <a:endParaRPr lang="en-US" sz="1100" i="1"/>
        </a:p>
      </xdr:txBody>
    </xdr:sp>
    <xdr:clientData/>
  </xdr:twoCellAnchor>
  <xdr:twoCellAnchor>
    <xdr:from>
      <xdr:col>1</xdr:col>
      <xdr:colOff>9524</xdr:colOff>
      <xdr:row>21</xdr:row>
      <xdr:rowOff>85725</xdr:rowOff>
    </xdr:from>
    <xdr:to>
      <xdr:col>9</xdr:col>
      <xdr:colOff>314325</xdr:colOff>
      <xdr:row>23</xdr:row>
      <xdr:rowOff>47625</xdr:rowOff>
    </xdr:to>
    <xdr:sp macro="" textlink="">
      <xdr:nvSpPr>
        <xdr:cNvPr id="10" name="TextBox 9"/>
        <xdr:cNvSpPr txBox="1"/>
      </xdr:nvSpPr>
      <xdr:spPr>
        <a:xfrm>
          <a:off x="142874" y="3343275"/>
          <a:ext cx="6762751"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BA cannot achieve the operational efficiency that it did till now?</a:t>
          </a:r>
          <a:endParaRPr lang="en-US" sz="1100" i="1"/>
        </a:p>
      </xdr:txBody>
    </xdr:sp>
    <xdr:clientData/>
  </xdr:twoCellAnchor>
  <xdr:twoCellAnchor>
    <xdr:from>
      <xdr:col>3</xdr:col>
      <xdr:colOff>123825</xdr:colOff>
      <xdr:row>24</xdr:row>
      <xdr:rowOff>9524</xdr:rowOff>
    </xdr:from>
    <xdr:to>
      <xdr:col>5</xdr:col>
      <xdr:colOff>276225</xdr:colOff>
      <xdr:row>27</xdr:row>
      <xdr:rowOff>152399</xdr:rowOff>
    </xdr:to>
    <xdr:sp macro="" textlink="">
      <xdr:nvSpPr>
        <xdr:cNvPr id="11" name="TextBox 10"/>
        <xdr:cNvSpPr txBox="1"/>
      </xdr:nvSpPr>
      <xdr:spPr>
        <a:xfrm>
          <a:off x="2028825" y="3724274"/>
          <a:ext cx="171450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endParaRPr lang="en-US" sz="1100" b="1" i="0" u="none" strike="noStrike">
            <a:solidFill>
              <a:schemeClr val="dk1"/>
            </a:solidFill>
            <a:effectLst/>
            <a:latin typeface="+mn-lt"/>
            <a:ea typeface="+mn-ea"/>
            <a:cs typeface="+mn-cs"/>
          </a:endParaRPr>
        </a:p>
        <a:p>
          <a:r>
            <a:rPr lang="en-US" sz="1800" b="1" i="0" u="none" strike="noStrike">
              <a:solidFill>
                <a:schemeClr val="dk1"/>
              </a:solidFill>
              <a:effectLst/>
              <a:latin typeface="+mn-lt"/>
              <a:ea typeface="+mn-ea"/>
              <a:cs typeface="+mn-cs"/>
            </a:rPr>
            <a:t>-$1.22</a:t>
          </a:r>
          <a:r>
            <a:rPr lang="en-US" sz="2000" b="1" i="0"/>
            <a:t>/share</a:t>
          </a:r>
          <a:endParaRPr lang="en-US" sz="1100" i="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542924</xdr:colOff>
      <xdr:row>15</xdr:row>
      <xdr:rowOff>2</xdr:rowOff>
    </xdr:from>
    <xdr:to>
      <xdr:col>7</xdr:col>
      <xdr:colOff>561975</xdr:colOff>
      <xdr:row>30</xdr:row>
      <xdr:rowOff>57150</xdr:rowOff>
    </xdr:to>
    <xdr:sp macro="" textlink="">
      <xdr:nvSpPr>
        <xdr:cNvPr id="3" name="TextBox 2"/>
        <xdr:cNvSpPr txBox="1"/>
      </xdr:nvSpPr>
      <xdr:spPr>
        <a:xfrm>
          <a:off x="3648074" y="2343152"/>
          <a:ext cx="4076701" cy="2343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Boeing has</a:t>
          </a:r>
          <a:r>
            <a:rPr lang="en-US" sz="1100" baseline="0"/>
            <a:t> 99.5% debt as </a:t>
          </a:r>
          <a:r>
            <a:rPr lang="en-US" sz="1100"/>
            <a:t>Convertible</a:t>
          </a:r>
          <a:r>
            <a:rPr lang="en-US" sz="1100" baseline="0"/>
            <a:t> Notes.</a:t>
          </a:r>
        </a:p>
        <a:p>
          <a:endParaRPr lang="en-US" sz="1100" baseline="0"/>
        </a:p>
        <a:p>
          <a:r>
            <a:rPr lang="en-US" sz="1100" baseline="0"/>
            <a:t>- Boeing has 100% debt in US $, which can be diversified with more currencies as operations exist outside of the US.</a:t>
          </a:r>
        </a:p>
        <a:p>
          <a:endParaRPr lang="en-US" sz="1100" baseline="0"/>
        </a:p>
        <a:p>
          <a:r>
            <a:rPr lang="en-US" sz="1100"/>
            <a:t>- Boeing</a:t>
          </a:r>
          <a:r>
            <a:rPr lang="en-US" sz="1100" baseline="0"/>
            <a:t> has 100% Fixed Rate Debt which tells that their business is affected by inflation (No Pricing Power).</a:t>
          </a:r>
        </a:p>
        <a:p>
          <a:endParaRPr lang="en-US" sz="1100" baseline="0"/>
        </a:p>
        <a:p>
          <a:r>
            <a:rPr lang="en-US" sz="1100" baseline="0"/>
            <a:t>- Boeing has majority of debt as very Long Term Debt (close to 30 years), which I expected, based on their operation's duration (19.5 years).</a:t>
          </a:r>
        </a:p>
        <a:p>
          <a:endParaRPr lang="en-US" sz="1100" baseline="0"/>
        </a:p>
        <a:p>
          <a:r>
            <a:rPr lang="en-US" sz="1100" baseline="0"/>
            <a:t>Debt design of Boeing can be improved further.</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200026</xdr:colOff>
      <xdr:row>14</xdr:row>
      <xdr:rowOff>76200</xdr:rowOff>
    </xdr:from>
    <xdr:to>
      <xdr:col>17</xdr:col>
      <xdr:colOff>447676</xdr:colOff>
      <xdr:row>29</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18</xdr:row>
      <xdr:rowOff>114301</xdr:rowOff>
    </xdr:from>
    <xdr:to>
      <xdr:col>6</xdr:col>
      <xdr:colOff>19050</xdr:colOff>
      <xdr:row>24</xdr:row>
      <xdr:rowOff>133351</xdr:rowOff>
    </xdr:to>
    <xdr:sp macro="" textlink="">
      <xdr:nvSpPr>
        <xdr:cNvPr id="3" name="TextBox 2"/>
        <xdr:cNvSpPr txBox="1"/>
      </xdr:nvSpPr>
      <xdr:spPr>
        <a:xfrm>
          <a:off x="3028950" y="2914651"/>
          <a:ext cx="21050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t>High</a:t>
          </a:r>
          <a:r>
            <a:rPr lang="en-US" sz="1050" i="1" baseline="0"/>
            <a:t> - Aviation, Consumer Durables</a:t>
          </a:r>
        </a:p>
        <a:p>
          <a:endParaRPr lang="en-US" sz="1050" i="1" baseline="0"/>
        </a:p>
        <a:p>
          <a:r>
            <a:rPr lang="en-US" sz="1050" i="1" baseline="0"/>
            <a:t>Medium - Technology</a:t>
          </a:r>
        </a:p>
        <a:p>
          <a:endParaRPr lang="en-US" sz="1050" i="1" baseline="0"/>
        </a:p>
        <a:p>
          <a:r>
            <a:rPr lang="en-US" sz="1050" i="1" baseline="0"/>
            <a:t>Low - Grocery Store</a:t>
          </a:r>
          <a:endParaRPr lang="en-US" sz="1050" i="1"/>
        </a:p>
      </xdr:txBody>
    </xdr:sp>
    <xdr:clientData/>
  </xdr:twoCellAnchor>
  <xdr:twoCellAnchor>
    <xdr:from>
      <xdr:col>9</xdr:col>
      <xdr:colOff>380999</xdr:colOff>
      <xdr:row>13</xdr:row>
      <xdr:rowOff>123825</xdr:rowOff>
    </xdr:from>
    <xdr:to>
      <xdr:col>13</xdr:col>
      <xdr:colOff>238124</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9524</xdr:colOff>
      <xdr:row>14</xdr:row>
      <xdr:rowOff>114302</xdr:rowOff>
    </xdr:from>
    <xdr:to>
      <xdr:col>10</xdr:col>
      <xdr:colOff>19050</xdr:colOff>
      <xdr:row>20</xdr:row>
      <xdr:rowOff>47625</xdr:rowOff>
    </xdr:to>
    <xdr:sp macro="" textlink="">
      <xdr:nvSpPr>
        <xdr:cNvPr id="3" name="TextBox 2"/>
        <xdr:cNvSpPr txBox="1"/>
      </xdr:nvSpPr>
      <xdr:spPr>
        <a:xfrm>
          <a:off x="6296024" y="2305052"/>
          <a:ext cx="2419351" cy="8477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Boeing returned 21.4 billion dollars only as dividends</a:t>
          </a:r>
          <a:r>
            <a:rPr lang="en-US" sz="1100" baseline="0"/>
            <a:t> and buybacks. Cash Return is </a:t>
          </a:r>
          <a:r>
            <a:rPr lang="en-US" sz="1100"/>
            <a:t>105.8% of</a:t>
          </a:r>
          <a:r>
            <a:rPr lang="en-US" sz="1100" baseline="0"/>
            <a:t> </a:t>
          </a:r>
          <a:r>
            <a:rPr lang="en-US" sz="1100"/>
            <a:t>20.2 billion dollars it had available as FCFE.</a:t>
          </a:r>
          <a:endParaRPr lang="en-US" sz="1100" baseline="0"/>
        </a:p>
      </xdr:txBody>
    </xdr:sp>
    <xdr:clientData/>
  </xdr:twoCellAnchor>
  <xdr:twoCellAnchor>
    <xdr:from>
      <xdr:col>7</xdr:col>
      <xdr:colOff>800099</xdr:colOff>
      <xdr:row>2</xdr:row>
      <xdr:rowOff>38103</xdr:rowOff>
    </xdr:from>
    <xdr:to>
      <xdr:col>9</xdr:col>
      <xdr:colOff>723900</xdr:colOff>
      <xdr:row>5</xdr:row>
      <xdr:rowOff>38101</xdr:rowOff>
    </xdr:to>
    <xdr:sp macro="" textlink="">
      <xdr:nvSpPr>
        <xdr:cNvPr id="4" name="TextBox 3"/>
        <xdr:cNvSpPr txBox="1"/>
      </xdr:nvSpPr>
      <xdr:spPr>
        <a:xfrm>
          <a:off x="6276974" y="400053"/>
          <a:ext cx="2409826" cy="4571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What</a:t>
          </a:r>
          <a:r>
            <a:rPr lang="en-US" sz="1100" i="1" baseline="0"/>
            <a:t> investment opportunities does the firm have?</a:t>
          </a:r>
          <a:endParaRPr lang="en-US" sz="1050" i="1" baseline="0"/>
        </a:p>
      </xdr:txBody>
    </xdr:sp>
    <xdr:clientData/>
  </xdr:twoCellAnchor>
  <xdr:twoCellAnchor>
    <xdr:from>
      <xdr:col>8</xdr:col>
      <xdr:colOff>9524</xdr:colOff>
      <xdr:row>10</xdr:row>
      <xdr:rowOff>142878</xdr:rowOff>
    </xdr:from>
    <xdr:to>
      <xdr:col>10</xdr:col>
      <xdr:colOff>9525</xdr:colOff>
      <xdr:row>14</xdr:row>
      <xdr:rowOff>9526</xdr:rowOff>
    </xdr:to>
    <xdr:sp macro="" textlink="">
      <xdr:nvSpPr>
        <xdr:cNvPr id="5" name="TextBox 4"/>
        <xdr:cNvSpPr txBox="1"/>
      </xdr:nvSpPr>
      <xdr:spPr>
        <a:xfrm>
          <a:off x="5934074" y="1724028"/>
          <a:ext cx="2409826" cy="476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BA should deal</a:t>
          </a:r>
          <a:r>
            <a:rPr lang="en-US" sz="1100" i="1" baseline="0"/>
            <a:t> with its investment problem first and cut cash return.</a:t>
          </a:r>
          <a:endParaRPr lang="en-US" sz="1050" i="1" baseline="0"/>
        </a:p>
      </xdr:txBody>
    </xdr:sp>
    <xdr:clientData/>
  </xdr:twoCellAnchor>
  <xdr:twoCellAnchor>
    <xdr:from>
      <xdr:col>10</xdr:col>
      <xdr:colOff>495301</xdr:colOff>
      <xdr:row>2</xdr:row>
      <xdr:rowOff>114300</xdr:rowOff>
    </xdr:from>
    <xdr:to>
      <xdr:col>15</xdr:col>
      <xdr:colOff>257175</xdr:colOff>
      <xdr:row>24</xdr:row>
      <xdr:rowOff>85725</xdr:rowOff>
    </xdr:to>
    <xdr:graphicFrame macro="">
      <xdr:nvGraphicFramePr>
        <xdr:cNvPr id="6" name="Diagram 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180974</xdr:colOff>
      <xdr:row>2</xdr:row>
      <xdr:rowOff>0</xdr:rowOff>
    </xdr:from>
    <xdr:to>
      <xdr:col>14</xdr:col>
      <xdr:colOff>476249</xdr:colOff>
      <xdr:row>4</xdr:row>
      <xdr:rowOff>9526</xdr:rowOff>
    </xdr:to>
    <xdr:sp macro="" textlink="">
      <xdr:nvSpPr>
        <xdr:cNvPr id="7" name="TextBox 6"/>
        <xdr:cNvSpPr txBox="1"/>
      </xdr:nvSpPr>
      <xdr:spPr>
        <a:xfrm>
          <a:off x="9191624" y="361950"/>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1"/>
            <a:t>The Dividend Matrix</a:t>
          </a:r>
        </a:p>
      </xdr:txBody>
    </xdr:sp>
    <xdr:clientData/>
  </xdr:twoCellAnchor>
  <xdr:twoCellAnchor editAs="oneCell">
    <xdr:from>
      <xdr:col>11</xdr:col>
      <xdr:colOff>276225</xdr:colOff>
      <xdr:row>18</xdr:row>
      <xdr:rowOff>76200</xdr:rowOff>
    </xdr:from>
    <xdr:to>
      <xdr:col>12</xdr:col>
      <xdr:colOff>581025</xdr:colOff>
      <xdr:row>20</xdr:row>
      <xdr:rowOff>57150</xdr:rowOff>
    </xdr:to>
    <xdr:pic>
      <xdr:nvPicPr>
        <xdr:cNvPr id="8" name="Picture 7"/>
        <xdr:cNvPicPr>
          <a:picLocks noChangeAspect="1"/>
        </xdr:cNvPicPr>
      </xdr:nvPicPr>
      <xdr:blipFill rotWithShape="1">
        <a:blip xmlns:r="http://schemas.openxmlformats.org/officeDocument/2006/relationships" r:embed="rId6"/>
        <a:srcRect l="11184" t="28903" r="11184" b="29807"/>
        <a:stretch/>
      </xdr:blipFill>
      <xdr:spPr>
        <a:xfrm>
          <a:off x="9286875" y="2876550"/>
          <a:ext cx="1123950" cy="285750"/>
        </a:xfrm>
        <a:prstGeom prst="rect">
          <a:avLst/>
        </a:prstGeom>
      </xdr:spPr>
    </xdr:pic>
    <xdr:clientData/>
  </xdr:twoCellAnchor>
  <xdr:twoCellAnchor>
    <xdr:from>
      <xdr:col>11</xdr:col>
      <xdr:colOff>180974</xdr:colOff>
      <xdr:row>23</xdr:row>
      <xdr:rowOff>57150</xdr:rowOff>
    </xdr:from>
    <xdr:to>
      <xdr:col>14</xdr:col>
      <xdr:colOff>476249</xdr:colOff>
      <xdr:row>25</xdr:row>
      <xdr:rowOff>66676</xdr:rowOff>
    </xdr:to>
    <xdr:sp macro="" textlink="">
      <xdr:nvSpPr>
        <xdr:cNvPr id="10" name="TextBox 9"/>
        <xdr:cNvSpPr txBox="1"/>
      </xdr:nvSpPr>
      <xdr:spPr>
        <a:xfrm>
          <a:off x="9191624" y="3619500"/>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Quality of Projects</a:t>
          </a:r>
        </a:p>
      </xdr:txBody>
    </xdr:sp>
    <xdr:clientData/>
  </xdr:twoCellAnchor>
  <xdr:twoCellAnchor>
    <xdr:from>
      <xdr:col>10</xdr:col>
      <xdr:colOff>381000</xdr:colOff>
      <xdr:row>4</xdr:row>
      <xdr:rowOff>123825</xdr:rowOff>
    </xdr:from>
    <xdr:to>
      <xdr:col>11</xdr:col>
      <xdr:colOff>9526</xdr:colOff>
      <xdr:row>22</xdr:row>
      <xdr:rowOff>57150</xdr:rowOff>
    </xdr:to>
    <xdr:sp macro="" textlink="">
      <xdr:nvSpPr>
        <xdr:cNvPr id="11" name="TextBox 10"/>
        <xdr:cNvSpPr txBox="1"/>
      </xdr:nvSpPr>
      <xdr:spPr>
        <a:xfrm rot="16200000">
          <a:off x="7524750" y="1971675"/>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Amount of Cash Return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AG27"/>
  <sheetViews>
    <sheetView tabSelected="1" zoomScaleNormal="100" workbookViewId="0"/>
  </sheetViews>
  <sheetFormatPr defaultColWidth="9.140625" defaultRowHeight="12.75"/>
  <cols>
    <col min="1" max="1" width="2" style="40" customWidth="1"/>
    <col min="2" max="3" width="9.140625" style="40"/>
    <col min="4" max="4" width="3.42578125" style="40" customWidth="1"/>
    <col min="5" max="6" width="9.140625" style="40"/>
    <col min="7" max="7" width="1.42578125" style="40" customWidth="1"/>
    <col min="8" max="9" width="9.140625" style="40"/>
    <col min="10" max="10" width="1.42578125" style="40" customWidth="1"/>
    <col min="11" max="12" width="9.140625" style="40"/>
    <col min="13" max="13" width="1.42578125" style="40" customWidth="1"/>
    <col min="14" max="14" width="9.140625" style="40"/>
    <col min="15" max="15" width="10.42578125" style="40" customWidth="1"/>
    <col min="16" max="16" width="1.42578125" style="40" customWidth="1"/>
    <col min="17" max="17" width="9.140625" style="40"/>
    <col min="18" max="18" width="7.85546875" style="40" customWidth="1"/>
    <col min="19" max="19" width="3.28515625" style="40" customWidth="1"/>
    <col min="20" max="20" width="1.42578125" style="40" customWidth="1"/>
    <col min="21" max="21" width="9.140625" style="40"/>
    <col min="22" max="22" width="1.42578125" style="40" customWidth="1"/>
    <col min="23" max="23" width="11.28515625" style="40" customWidth="1"/>
    <col min="24" max="25" width="1.28515625" style="40" customWidth="1"/>
    <col min="26" max="26" width="16.7109375" style="40" customWidth="1"/>
    <col min="27" max="27" width="1.42578125" style="40" customWidth="1"/>
    <col min="28" max="28" width="18.28515625" style="40" customWidth="1"/>
    <col min="29" max="29" width="11.7109375" style="40" customWidth="1"/>
    <col min="30" max="16384" width="9.140625" style="40"/>
  </cols>
  <sheetData>
    <row r="1" spans="2:33" ht="5.25" customHeight="1">
      <c r="B1" s="193"/>
      <c r="C1" s="186"/>
    </row>
    <row r="2" spans="2:33" ht="16.5" customHeight="1">
      <c r="E2" s="621" t="s">
        <v>209</v>
      </c>
      <c r="F2" s="621"/>
      <c r="G2" s="188"/>
      <c r="H2" s="621" t="s">
        <v>208</v>
      </c>
      <c r="I2" s="621"/>
      <c r="J2" s="189"/>
      <c r="K2" s="621" t="s">
        <v>210</v>
      </c>
      <c r="L2" s="621"/>
      <c r="M2" s="189"/>
      <c r="N2" s="621" t="s">
        <v>151</v>
      </c>
      <c r="O2" s="621"/>
      <c r="P2" s="189"/>
      <c r="Q2" s="621" t="s">
        <v>211</v>
      </c>
      <c r="R2" s="621"/>
      <c r="S2" s="621"/>
      <c r="T2" s="189"/>
      <c r="U2" s="585" t="s">
        <v>212</v>
      </c>
      <c r="V2" s="189"/>
      <c r="W2" s="621" t="s">
        <v>213</v>
      </c>
      <c r="X2" s="621"/>
      <c r="Z2" s="585" t="s">
        <v>214</v>
      </c>
      <c r="AA2" s="194"/>
      <c r="AB2" s="585" t="s">
        <v>765</v>
      </c>
      <c r="AD2" s="194"/>
    </row>
    <row r="3" spans="2:33" ht="13.5" customHeight="1">
      <c r="E3" s="622" t="str">
        <f>CONCATENATE("$",ROUND('Cost of Equity, Debt &amp; WACC'!C21/1000,2)," Bn")</f>
        <v>$127.25 Bn</v>
      </c>
      <c r="F3" s="622"/>
      <c r="G3" s="190"/>
      <c r="H3" s="622" t="str">
        <f>CONCATENATE("$",ROUND('Accounting Adjustments'!G5/1000,2)," Bn")</f>
        <v>$66.61 Bn</v>
      </c>
      <c r="I3" s="622"/>
      <c r="J3" s="189"/>
      <c r="K3" s="622" t="str">
        <f>CONCATENATE("$",ROUND('Accounting Adjustments'!G11/1000,2)," Bn")</f>
        <v>$-3.54 Bn</v>
      </c>
      <c r="L3" s="622"/>
      <c r="M3" s="189"/>
      <c r="N3" s="620" t="str">
        <f ca="1">CONCATENATE(ROUND('Bottom Up Beta'!C15,2))</f>
        <v>0.11</v>
      </c>
      <c r="O3" s="620"/>
      <c r="P3" s="189"/>
      <c r="Q3" s="620" t="str">
        <f>CONCATENATE(ROUND((('Accounting Adjustments'!F5-'Accounting Adjustments'!E5)/'Accounting Adjustments'!E5)*100,2),"%")</f>
        <v>7.1%</v>
      </c>
      <c r="R3" s="620"/>
      <c r="S3" s="620"/>
      <c r="T3" s="189"/>
      <c r="U3" s="620" t="str">
        <f ca="1">CONCATENATE(ROUND('Bottom Up Beta'!C18,2))</f>
        <v>1.02</v>
      </c>
      <c r="V3" s="189"/>
      <c r="W3" s="620" t="str">
        <f ca="1">CONCATENATE(ROUND('Cost of Equity, Debt &amp; WACC'!C29*100,2),"%")</f>
        <v>9.62%</v>
      </c>
      <c r="X3" s="620"/>
      <c r="Z3" s="620" t="str">
        <f>CONCATENATE(ROUND('Corporate Governance'!F26,2))</f>
        <v>7</v>
      </c>
      <c r="AA3" s="195"/>
      <c r="AB3" s="620" t="str">
        <f>CONCATENATE(ROUND('Expected Growth Rate'!C11*100,2),"%")</f>
        <v>1.78%</v>
      </c>
      <c r="AD3" s="195"/>
    </row>
    <row r="4" spans="2:33" ht="12.75" customHeight="1">
      <c r="B4" s="187"/>
      <c r="E4" s="622"/>
      <c r="F4" s="622"/>
      <c r="G4" s="190"/>
      <c r="H4" s="622"/>
      <c r="I4" s="622"/>
      <c r="J4" s="189"/>
      <c r="K4" s="622"/>
      <c r="L4" s="622"/>
      <c r="M4" s="189"/>
      <c r="N4" s="620"/>
      <c r="O4" s="620"/>
      <c r="P4" s="189"/>
      <c r="Q4" s="620"/>
      <c r="R4" s="620"/>
      <c r="S4" s="620"/>
      <c r="T4" s="189"/>
      <c r="U4" s="620"/>
      <c r="V4" s="189"/>
      <c r="W4" s="620"/>
      <c r="X4" s="620"/>
      <c r="Z4" s="620"/>
      <c r="AA4" s="195"/>
      <c r="AB4" s="620"/>
      <c r="AD4" s="195"/>
    </row>
    <row r="5" spans="2:33" ht="4.5" customHeight="1">
      <c r="B5" s="192"/>
      <c r="C5" s="191"/>
    </row>
    <row r="6" spans="2:33" ht="8.25" customHeight="1">
      <c r="B6" s="619" t="s">
        <v>215</v>
      </c>
      <c r="C6" s="619"/>
      <c r="D6" s="619"/>
      <c r="E6" s="619"/>
      <c r="F6" s="619"/>
      <c r="G6" s="196"/>
      <c r="H6" s="619" t="s">
        <v>220</v>
      </c>
      <c r="I6" s="619"/>
      <c r="J6" s="619"/>
      <c r="K6" s="619"/>
      <c r="L6" s="619"/>
      <c r="M6" s="619"/>
      <c r="N6" s="619"/>
      <c r="O6" s="619"/>
      <c r="P6" s="196"/>
      <c r="Q6" s="619" t="s">
        <v>221</v>
      </c>
      <c r="R6" s="619"/>
      <c r="S6" s="619"/>
      <c r="T6" s="619"/>
      <c r="U6" s="619"/>
      <c r="V6" s="619"/>
      <c r="W6" s="619"/>
      <c r="X6" s="619"/>
      <c r="Z6" s="619" t="s">
        <v>129</v>
      </c>
      <c r="AA6" s="619"/>
      <c r="AB6" s="619"/>
      <c r="AC6" s="196"/>
      <c r="AD6" s="196"/>
      <c r="AE6" s="196"/>
      <c r="AF6" s="196"/>
      <c r="AG6" s="196"/>
    </row>
    <row r="7" spans="2:33" ht="8.25" customHeight="1">
      <c r="B7" s="619"/>
      <c r="C7" s="619"/>
      <c r="D7" s="619"/>
      <c r="E7" s="619"/>
      <c r="F7" s="619"/>
      <c r="G7" s="196"/>
      <c r="H7" s="619"/>
      <c r="I7" s="619"/>
      <c r="J7" s="619"/>
      <c r="K7" s="619"/>
      <c r="L7" s="619"/>
      <c r="M7" s="619"/>
      <c r="N7" s="619"/>
      <c r="O7" s="619"/>
      <c r="P7" s="196"/>
      <c r="Q7" s="619"/>
      <c r="R7" s="619"/>
      <c r="S7" s="619"/>
      <c r="T7" s="619"/>
      <c r="U7" s="619"/>
      <c r="V7" s="619"/>
      <c r="W7" s="619"/>
      <c r="X7" s="619"/>
      <c r="Z7" s="619"/>
      <c r="AA7" s="619"/>
      <c r="AB7" s="619"/>
      <c r="AC7" s="196"/>
      <c r="AD7" s="196"/>
      <c r="AE7" s="196"/>
      <c r="AF7" s="196"/>
      <c r="AG7" s="196"/>
    </row>
    <row r="8" spans="2:33" ht="15" customHeight="1"/>
    <row r="9" spans="2:33" ht="12.75" customHeight="1"/>
    <row r="10" spans="2:33">
      <c r="C10" s="41"/>
    </row>
    <row r="12" spans="2:33" ht="15">
      <c r="H12"/>
    </row>
    <row r="13" spans="2:33">
      <c r="M13" s="42"/>
    </row>
    <row r="15" spans="2:33" ht="15">
      <c r="H15"/>
    </row>
    <row r="18" spans="2:28" ht="8.25" customHeight="1">
      <c r="B18" s="619" t="s">
        <v>226</v>
      </c>
      <c r="C18" s="619"/>
      <c r="D18" s="619"/>
      <c r="E18" s="619"/>
      <c r="F18" s="619"/>
      <c r="H18" s="619" t="s">
        <v>485</v>
      </c>
      <c r="I18" s="619"/>
      <c r="J18" s="619"/>
      <c r="K18" s="619"/>
      <c r="L18" s="619"/>
      <c r="M18" s="619"/>
      <c r="N18" s="619"/>
      <c r="O18" s="619"/>
      <c r="Q18" s="619" t="s">
        <v>227</v>
      </c>
      <c r="R18" s="619"/>
      <c r="S18" s="619"/>
      <c r="T18" s="619"/>
      <c r="U18" s="619"/>
      <c r="V18" s="619"/>
      <c r="W18" s="619"/>
      <c r="X18" s="619"/>
      <c r="Y18" s="580"/>
      <c r="Z18" s="619" t="s">
        <v>229</v>
      </c>
      <c r="AA18" s="619"/>
      <c r="AB18" s="619"/>
    </row>
    <row r="19" spans="2:28" ht="8.25" customHeight="1">
      <c r="B19" s="619"/>
      <c r="C19" s="619"/>
      <c r="D19" s="619"/>
      <c r="E19" s="619"/>
      <c r="F19" s="619"/>
      <c r="H19" s="619"/>
      <c r="I19" s="619"/>
      <c r="J19" s="619"/>
      <c r="K19" s="619"/>
      <c r="L19" s="619"/>
      <c r="M19" s="619"/>
      <c r="N19" s="619"/>
      <c r="O19" s="619"/>
      <c r="Q19" s="619"/>
      <c r="R19" s="619"/>
      <c r="S19" s="619"/>
      <c r="T19" s="619"/>
      <c r="U19" s="619"/>
      <c r="V19" s="619"/>
      <c r="W19" s="619"/>
      <c r="X19" s="619"/>
      <c r="Y19" s="580"/>
      <c r="Z19" s="619"/>
      <c r="AA19" s="619"/>
      <c r="AB19" s="619"/>
    </row>
    <row r="20" spans="2:28" ht="12.75" customHeight="1"/>
    <row r="21" spans="2:28" ht="12.75" customHeight="1">
      <c r="V21" s="194"/>
      <c r="Y21" s="194"/>
      <c r="Z21" s="194"/>
      <c r="AA21" s="194"/>
    </row>
    <row r="22" spans="2:28" ht="12.75" customHeight="1">
      <c r="V22" s="198"/>
      <c r="Y22" s="194"/>
      <c r="Z22" s="198"/>
      <c r="AA22" s="198"/>
    </row>
    <row r="23" spans="2:28" ht="12.75" customHeight="1">
      <c r="V23" s="198"/>
      <c r="Y23" s="194"/>
      <c r="Z23" s="198"/>
      <c r="AA23" s="198"/>
    </row>
    <row r="25" spans="2:28" ht="12.75" customHeight="1">
      <c r="V25" s="194"/>
    </row>
    <row r="26" spans="2:28" ht="12.75" customHeight="1">
      <c r="V26" s="198"/>
    </row>
    <row r="27" spans="2:28" ht="12.75" customHeight="1">
      <c r="V27" s="198"/>
    </row>
  </sheetData>
  <mergeCells count="23">
    <mergeCell ref="E2:F2"/>
    <mergeCell ref="E3:F4"/>
    <mergeCell ref="H2:I2"/>
    <mergeCell ref="H3:I4"/>
    <mergeCell ref="W2:X2"/>
    <mergeCell ref="W3:X4"/>
    <mergeCell ref="U3:U4"/>
    <mergeCell ref="K2:L2"/>
    <mergeCell ref="K3:L4"/>
    <mergeCell ref="N2:O2"/>
    <mergeCell ref="N3:O4"/>
    <mergeCell ref="Q2:S2"/>
    <mergeCell ref="Q3:S4"/>
    <mergeCell ref="B18:F19"/>
    <mergeCell ref="H18:O19"/>
    <mergeCell ref="H6:O7"/>
    <mergeCell ref="AB3:AB4"/>
    <mergeCell ref="Z3:Z4"/>
    <mergeCell ref="B6:F7"/>
    <mergeCell ref="Q6:X7"/>
    <mergeCell ref="Z6:AB7"/>
    <mergeCell ref="Z18:AB19"/>
    <mergeCell ref="Q18:X19"/>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4"/>
  <sheetViews>
    <sheetView zoomScaleNormal="100" workbookViewId="0"/>
  </sheetViews>
  <sheetFormatPr defaultRowHeight="12"/>
  <cols>
    <col min="1" max="1" width="2" style="2" customWidth="1"/>
    <col min="2" max="2" width="23.28515625" style="2" customWidth="1"/>
    <col min="3" max="3" width="19.5703125" style="2" bestFit="1" customWidth="1"/>
    <col min="4" max="4" width="5.85546875" style="2" customWidth="1"/>
    <col min="5" max="5" width="13.140625" style="2" customWidth="1"/>
    <col min="6" max="6" width="13.140625" style="12" customWidth="1"/>
    <col min="7" max="7" width="5.85546875" style="2" customWidth="1"/>
    <col min="8" max="8" width="24.140625" style="2" customWidth="1"/>
    <col min="9" max="14" width="11.7109375" style="2" customWidth="1"/>
    <col min="15" max="16384" width="9.140625" style="2"/>
  </cols>
  <sheetData>
    <row r="1" spans="2:14" ht="15.75">
      <c r="B1" s="15" t="s">
        <v>358</v>
      </c>
      <c r="E1" s="3"/>
      <c r="F1" s="45"/>
      <c r="G1" s="3"/>
      <c r="H1" s="3"/>
      <c r="I1" s="3"/>
      <c r="J1" s="3"/>
      <c r="K1" s="3"/>
      <c r="L1" s="3"/>
      <c r="M1" s="3"/>
      <c r="N1" s="3"/>
    </row>
    <row r="2" spans="2:14" ht="12.75" thickBot="1">
      <c r="E2" s="3"/>
      <c r="F2" s="45"/>
      <c r="G2" s="3"/>
      <c r="H2" s="3"/>
      <c r="I2" s="3"/>
      <c r="J2" s="3"/>
      <c r="K2" s="3"/>
      <c r="L2" s="3"/>
      <c r="M2" s="3"/>
      <c r="N2" s="3"/>
    </row>
    <row r="3" spans="2:14">
      <c r="B3" s="326" t="s">
        <v>372</v>
      </c>
      <c r="C3" s="248"/>
      <c r="D3" s="18"/>
      <c r="E3" s="274" t="s">
        <v>30</v>
      </c>
      <c r="F3" s="275" t="s">
        <v>176</v>
      </c>
      <c r="G3" s="61"/>
      <c r="H3" s="326" t="str">
        <f>$C$10&amp;"'s Inputs"</f>
        <v>The Boeing Company's Inputs</v>
      </c>
      <c r="I3" s="248"/>
      <c r="J3" s="60"/>
      <c r="K3" s="3"/>
      <c r="L3" s="44"/>
      <c r="M3" s="57"/>
      <c r="N3" s="3"/>
    </row>
    <row r="4" spans="2:14" ht="12.75" thickBot="1">
      <c r="B4" s="307"/>
      <c r="C4" s="253"/>
      <c r="D4" s="5"/>
      <c r="E4" s="270" t="s">
        <v>15</v>
      </c>
      <c r="F4" s="271">
        <v>0</v>
      </c>
      <c r="G4" s="62"/>
      <c r="H4" s="307"/>
      <c r="I4" s="253"/>
      <c r="J4" s="47"/>
      <c r="K4" s="3"/>
      <c r="L4" s="3"/>
      <c r="M4" s="3"/>
      <c r="N4" s="3"/>
    </row>
    <row r="5" spans="2:14">
      <c r="B5" s="159" t="s">
        <v>361</v>
      </c>
      <c r="C5" s="327" t="s">
        <v>362</v>
      </c>
      <c r="D5" s="5"/>
      <c r="E5" s="270" t="s">
        <v>16</v>
      </c>
      <c r="F5" s="271">
        <v>3.3999999999999998E-3</v>
      </c>
      <c r="G5" s="62"/>
      <c r="H5" s="159" t="s">
        <v>180</v>
      </c>
      <c r="I5" s="327" t="s">
        <v>233</v>
      </c>
      <c r="J5" s="47"/>
      <c r="K5" s="3"/>
      <c r="L5" s="3"/>
      <c r="M5" s="3"/>
      <c r="N5" s="3"/>
    </row>
    <row r="6" spans="2:14">
      <c r="B6" s="159" t="s">
        <v>363</v>
      </c>
      <c r="C6" s="327">
        <v>45027</v>
      </c>
      <c r="D6" s="20"/>
      <c r="E6" s="270" t="s">
        <v>9</v>
      </c>
      <c r="F6" s="271">
        <v>4.1999999999999997E-3</v>
      </c>
      <c r="G6" s="62"/>
      <c r="H6" s="159"/>
      <c r="I6" s="327"/>
      <c r="J6" s="47"/>
      <c r="K6" s="3"/>
      <c r="L6" s="3"/>
      <c r="M6" s="3"/>
      <c r="N6" s="3"/>
    </row>
    <row r="7" spans="2:14">
      <c r="C7" s="250"/>
      <c r="D7" s="5"/>
      <c r="E7" s="270" t="s">
        <v>20</v>
      </c>
      <c r="F7" s="271">
        <v>5.1000000000000004E-3</v>
      </c>
      <c r="G7" s="62"/>
      <c r="H7" s="63" t="s">
        <v>479</v>
      </c>
      <c r="I7" s="281">
        <v>1.78E-2</v>
      </c>
      <c r="J7" s="47"/>
      <c r="K7" s="3"/>
      <c r="L7" s="3"/>
      <c r="M7" s="3"/>
      <c r="N7" s="3"/>
    </row>
    <row r="8" spans="2:14">
      <c r="B8" s="326" t="s">
        <v>364</v>
      </c>
      <c r="C8" s="248"/>
      <c r="D8" s="5"/>
      <c r="E8" s="270" t="s">
        <v>25</v>
      </c>
      <c r="F8" s="271">
        <v>6.0000000000000001E-3</v>
      </c>
      <c r="G8" s="62"/>
      <c r="H8" s="63" t="s">
        <v>480</v>
      </c>
      <c r="I8" s="281">
        <v>1.78E-2</v>
      </c>
      <c r="J8" s="47"/>
      <c r="K8" s="3"/>
      <c r="L8" s="3"/>
      <c r="M8" s="3"/>
      <c r="N8" s="3"/>
    </row>
    <row r="9" spans="2:14" ht="12.75" thickBot="1">
      <c r="B9" s="307"/>
      <c r="C9" s="253"/>
      <c r="D9" s="5"/>
      <c r="E9" s="270" t="s">
        <v>22</v>
      </c>
      <c r="F9" s="271">
        <v>7.1999999999999998E-3</v>
      </c>
      <c r="G9" s="62"/>
      <c r="H9" s="63"/>
      <c r="I9" s="37"/>
      <c r="J9" s="47"/>
      <c r="K9" s="3"/>
      <c r="L9" s="3"/>
      <c r="M9" s="3"/>
      <c r="N9" s="3"/>
    </row>
    <row r="10" spans="2:14">
      <c r="B10" s="159" t="s">
        <v>359</v>
      </c>
      <c r="C10" s="328" t="s">
        <v>514</v>
      </c>
      <c r="D10" s="5"/>
      <c r="E10" s="270" t="s">
        <v>23</v>
      </c>
      <c r="F10" s="271">
        <v>1.0200000000000001E-2</v>
      </c>
      <c r="G10" s="62"/>
      <c r="H10" s="63" t="s">
        <v>403</v>
      </c>
      <c r="I10" s="560">
        <v>-514</v>
      </c>
      <c r="J10" s="47"/>
      <c r="K10" s="3"/>
      <c r="L10" s="3"/>
      <c r="M10" s="3"/>
      <c r="N10" s="3"/>
    </row>
    <row r="11" spans="2:14">
      <c r="B11" s="159" t="s">
        <v>33</v>
      </c>
      <c r="C11" s="328" t="s">
        <v>515</v>
      </c>
      <c r="D11" s="5"/>
      <c r="E11" s="270" t="s">
        <v>24</v>
      </c>
      <c r="F11" s="271">
        <v>1.3599999999999999E-2</v>
      </c>
      <c r="G11" s="62"/>
      <c r="H11" s="63" t="s">
        <v>101</v>
      </c>
      <c r="I11" s="560">
        <v>68</v>
      </c>
      <c r="J11" s="47"/>
      <c r="K11" s="66"/>
      <c r="L11" s="3"/>
      <c r="M11" s="3"/>
      <c r="N11" s="3"/>
    </row>
    <row r="12" spans="2:14">
      <c r="B12" s="159" t="s">
        <v>367</v>
      </c>
      <c r="C12" s="328" t="s">
        <v>329</v>
      </c>
      <c r="D12" s="5"/>
      <c r="E12" s="270" t="s">
        <v>11</v>
      </c>
      <c r="F12" s="271">
        <v>1.6199999999999999E-2</v>
      </c>
      <c r="G12" s="62"/>
      <c r="H12" s="63"/>
      <c r="I12" s="37"/>
      <c r="J12" s="47"/>
      <c r="K12" s="6"/>
      <c r="L12" s="3"/>
      <c r="M12" s="3"/>
      <c r="N12" s="3"/>
    </row>
    <row r="13" spans="2:14">
      <c r="B13" s="149" t="s">
        <v>309</v>
      </c>
      <c r="C13" s="329" t="s">
        <v>516</v>
      </c>
      <c r="D13" s="5"/>
      <c r="E13" s="270" t="s">
        <v>28</v>
      </c>
      <c r="F13" s="271">
        <v>1.8700000000000001E-2</v>
      </c>
      <c r="G13" s="62"/>
      <c r="H13" s="343" t="s">
        <v>373</v>
      </c>
      <c r="I13" s="343"/>
      <c r="J13" s="343"/>
      <c r="K13" s="343"/>
      <c r="L13" s="343"/>
      <c r="M13" s="343"/>
      <c r="N13" s="604"/>
    </row>
    <row r="14" spans="2:14" ht="12.75" thickBot="1">
      <c r="B14" s="159" t="s">
        <v>228</v>
      </c>
      <c r="C14" s="329" t="s">
        <v>517</v>
      </c>
      <c r="D14" s="20"/>
      <c r="E14" s="270" t="s">
        <v>27</v>
      </c>
      <c r="F14" s="271">
        <v>2.1299999999999999E-2</v>
      </c>
      <c r="G14" s="6"/>
      <c r="H14" s="316" t="str">
        <f>Drivers!$C$5&amp;" in mil"</f>
        <v>$ in mil</v>
      </c>
      <c r="I14" s="253"/>
      <c r="J14" s="253"/>
      <c r="K14" s="253"/>
      <c r="L14" s="253"/>
      <c r="M14" s="253"/>
      <c r="N14" s="3"/>
    </row>
    <row r="15" spans="2:14">
      <c r="C15" s="330"/>
      <c r="D15" s="5"/>
      <c r="E15" s="270" t="s">
        <v>17</v>
      </c>
      <c r="F15" s="271">
        <v>2.5600000000000001E-2</v>
      </c>
      <c r="G15" s="3"/>
      <c r="H15" s="344"/>
      <c r="I15" s="345">
        <v>2018</v>
      </c>
      <c r="J15" s="345">
        <v>2019</v>
      </c>
      <c r="K15" s="345">
        <v>2020</v>
      </c>
      <c r="L15" s="345">
        <v>2021</v>
      </c>
      <c r="M15" s="346">
        <v>2022</v>
      </c>
    </row>
    <row r="16" spans="2:14">
      <c r="B16" s="159" t="s">
        <v>360</v>
      </c>
      <c r="C16" s="331" t="str">
        <f>C5&amp;213.9</f>
        <v>$213.9</v>
      </c>
      <c r="D16" s="5"/>
      <c r="E16" s="270" t="s">
        <v>14</v>
      </c>
      <c r="F16" s="271">
        <v>3.0599999999999999E-2</v>
      </c>
      <c r="G16" s="53"/>
      <c r="H16" s="2" t="s">
        <v>119</v>
      </c>
      <c r="I16" s="457">
        <f>-'Income Statement'!C22</f>
        <v>475</v>
      </c>
      <c r="J16" s="457">
        <f>-'Income Statement'!D22</f>
        <v>722</v>
      </c>
      <c r="K16" s="457">
        <f>-'Income Statement'!E22</f>
        <v>2156</v>
      </c>
      <c r="L16" s="457">
        <f>-'Income Statement'!F22</f>
        <v>2682</v>
      </c>
      <c r="M16" s="457">
        <f>-'Income Statement'!G22</f>
        <v>2533</v>
      </c>
    </row>
    <row r="17" spans="1:14">
      <c r="B17" s="159" t="s">
        <v>365</v>
      </c>
      <c r="C17" s="332">
        <f>'Income Statement'!G29</f>
        <v>594.9</v>
      </c>
      <c r="D17" s="5"/>
      <c r="E17" s="270" t="s">
        <v>10</v>
      </c>
      <c r="F17" s="271">
        <v>3.8300000000000001E-2</v>
      </c>
      <c r="G17" s="53"/>
      <c r="H17" s="2" t="s">
        <v>3</v>
      </c>
      <c r="I17" s="457">
        <f>'Income Statement'!C19</f>
        <v>11987</v>
      </c>
      <c r="J17" s="457">
        <f>'Income Statement'!D19</f>
        <v>-1975</v>
      </c>
      <c r="K17" s="457">
        <f>'Income Statement'!E19</f>
        <v>-12767</v>
      </c>
      <c r="L17" s="457">
        <f>'Income Statement'!F19</f>
        <v>-2902</v>
      </c>
      <c r="M17" s="457">
        <f>'Income Statement'!G19</f>
        <v>-3547</v>
      </c>
    </row>
    <row r="18" spans="1:14">
      <c r="B18" s="159"/>
      <c r="C18" s="331"/>
      <c r="D18" s="20"/>
      <c r="E18" s="270" t="s">
        <v>18</v>
      </c>
      <c r="F18" s="271">
        <v>4.6800000000000001E-2</v>
      </c>
      <c r="G18" s="3"/>
      <c r="H18" s="296" t="s">
        <v>120</v>
      </c>
      <c r="I18" s="579">
        <f t="shared" ref="I18:L18" si="0">I17/I16</f>
        <v>25.235789473684211</v>
      </c>
      <c r="J18" s="579">
        <f t="shared" si="0"/>
        <v>-2.7354570637119116</v>
      </c>
      <c r="K18" s="579">
        <f t="shared" si="0"/>
        <v>-5.9216141001855291</v>
      </c>
      <c r="L18" s="579">
        <f t="shared" si="0"/>
        <v>-1.0820283370618942</v>
      </c>
      <c r="M18" s="579">
        <f>M17/M16</f>
        <v>-1.4003158310303987</v>
      </c>
    </row>
    <row r="19" spans="1:14">
      <c r="B19" s="326" t="s">
        <v>370</v>
      </c>
      <c r="C19" s="248"/>
      <c r="D19" s="5"/>
      <c r="E19" s="270" t="s">
        <v>12</v>
      </c>
      <c r="F19" s="271">
        <v>5.5300000000000002E-2</v>
      </c>
      <c r="G19" s="3"/>
      <c r="J19" s="159"/>
      <c r="K19" s="159"/>
      <c r="L19" s="159" t="s">
        <v>121</v>
      </c>
      <c r="M19" s="165">
        <f>MEDIAN(I18:M18)</f>
        <v>-1.4003158310303987</v>
      </c>
    </row>
    <row r="20" spans="1:14" ht="12.75" thickBot="1">
      <c r="B20" s="307"/>
      <c r="C20" s="253"/>
      <c r="D20" s="5"/>
      <c r="E20" s="270" t="s">
        <v>19</v>
      </c>
      <c r="F20" s="271">
        <v>6.3799999999999996E-2</v>
      </c>
      <c r="G20" s="66"/>
      <c r="L20" s="3"/>
      <c r="M20" s="3"/>
      <c r="N20" s="3"/>
    </row>
    <row r="21" spans="1:14">
      <c r="B21" s="159" t="s">
        <v>368</v>
      </c>
      <c r="C21" s="333" t="s">
        <v>369</v>
      </c>
      <c r="D21" s="5"/>
      <c r="E21" s="270" t="s">
        <v>26</v>
      </c>
      <c r="F21" s="271">
        <v>7.6600000000000001E-2</v>
      </c>
      <c r="G21" s="6"/>
      <c r="H21" s="326" t="s">
        <v>486</v>
      </c>
      <c r="I21" s="248"/>
      <c r="J21" s="248"/>
      <c r="K21" s="248"/>
    </row>
    <row r="22" spans="1:14" ht="12.75" thickBot="1">
      <c r="B22" s="159" t="str">
        <f>"10Y "&amp;C21&amp;" Gov Bond Yield"</f>
        <v>10Y USA Gov Bond Yield</v>
      </c>
      <c r="C22" s="333">
        <v>3.4320000000000003E-2</v>
      </c>
      <c r="D22" s="5"/>
      <c r="E22" s="270" t="s">
        <v>21</v>
      </c>
      <c r="F22" s="271">
        <v>8.5099999999999995E-2</v>
      </c>
      <c r="G22" s="45"/>
      <c r="H22" s="307"/>
      <c r="I22" s="307" t="s">
        <v>487</v>
      </c>
      <c r="J22" s="307" t="s">
        <v>492</v>
      </c>
      <c r="K22" s="307" t="s">
        <v>488</v>
      </c>
    </row>
    <row r="23" spans="1:14">
      <c r="B23" s="159" t="s">
        <v>30</v>
      </c>
      <c r="C23" s="333" t="s">
        <v>159</v>
      </c>
      <c r="D23" s="20"/>
      <c r="E23" s="270" t="s">
        <v>13</v>
      </c>
      <c r="F23" s="271">
        <v>0.1021</v>
      </c>
      <c r="G23" s="3"/>
      <c r="H23" s="159" t="s">
        <v>491</v>
      </c>
      <c r="I23" s="446">
        <v>113.02</v>
      </c>
      <c r="J23" s="581">
        <f>K23-I23</f>
        <v>108.31000000000002</v>
      </c>
      <c r="K23" s="581">
        <v>221.33</v>
      </c>
    </row>
    <row r="24" spans="1:14" ht="12.75" thickBot="1">
      <c r="B24" s="3"/>
      <c r="C24" s="3"/>
      <c r="D24" s="5"/>
      <c r="E24" s="272" t="s">
        <v>29</v>
      </c>
      <c r="F24" s="273">
        <v>0.17499999999999999</v>
      </c>
      <c r="G24" s="3"/>
      <c r="H24" s="159" t="s">
        <v>489</v>
      </c>
      <c r="I24" s="446">
        <v>180</v>
      </c>
      <c r="J24" s="581">
        <f t="shared" ref="J24:J26" si="1">K24-I24</f>
        <v>81</v>
      </c>
      <c r="K24" s="581">
        <v>261</v>
      </c>
    </row>
    <row r="25" spans="1:14">
      <c r="B25" s="149" t="str">
        <f>$C$21&amp;" ERP (as of Mar 23)"</f>
        <v>USA ERP (as of Mar 23)</v>
      </c>
      <c r="C25" s="334">
        <v>4.7800000000000002E-2</v>
      </c>
      <c r="D25" s="5"/>
      <c r="E25" s="5"/>
      <c r="F25" s="45"/>
      <c r="G25" s="3"/>
      <c r="H25" s="63" t="s">
        <v>490</v>
      </c>
      <c r="I25" s="583">
        <f>'Sensitivity Analysis'!N26</f>
        <v>13.925194039963621</v>
      </c>
      <c r="J25" s="581">
        <f t="shared" si="1"/>
        <v>7.7610842696054796</v>
      </c>
      <c r="K25" s="581">
        <f>'Sensitivity Analysis'!L26</f>
        <v>21.686278309569101</v>
      </c>
    </row>
    <row r="26" spans="1:14">
      <c r="A26" s="2" t="s">
        <v>371</v>
      </c>
      <c r="B26" s="149" t="str">
        <f>$C$21&amp;" Spread (as of Mar 23)"</f>
        <v>USA Spread (as of Mar 23)</v>
      </c>
      <c r="C26" s="334">
        <v>0</v>
      </c>
      <c r="D26" s="5"/>
      <c r="E26" s="20"/>
      <c r="F26" s="36"/>
      <c r="G26" s="3"/>
      <c r="H26" s="63" t="s">
        <v>764</v>
      </c>
      <c r="I26" s="446">
        <f ca="1">((1*'Accounting Adjustments'!$G$5)+'Fair Value of Share'!$C$16+'Fair Value of Share'!$C$20-'Fair Value of Share'!$C$23)/'Fair Value of Share'!$C$25</f>
        <v>111.2727227660215</v>
      </c>
      <c r="J26" s="581">
        <f t="shared" ca="1" si="1"/>
        <v>72.777273491343067</v>
      </c>
      <c r="K26" s="446">
        <f ca="1">((1.65*'Accounting Adjustments'!$G$5)+'Fair Value of Share'!$C$16+'Fair Value of Share'!$C$20-'Fair Value of Share'!$C$23)/'Fair Value of Share'!$C$25</f>
        <v>184.04999625736457</v>
      </c>
    </row>
    <row r="27" spans="1:14">
      <c r="B27" s="149" t="str">
        <f>$C$21&amp;" CRP (as of Mar 23)"</f>
        <v>USA CRP (as of Mar 23)</v>
      </c>
      <c r="C27" s="334">
        <v>0</v>
      </c>
      <c r="D27" s="20"/>
      <c r="E27" s="19"/>
      <c r="F27" s="70"/>
      <c r="G27" s="3"/>
      <c r="H27" s="63"/>
      <c r="I27" s="582"/>
      <c r="J27" s="582"/>
    </row>
    <row r="28" spans="1:14">
      <c r="B28" s="149" t="str">
        <f>$C$21&amp;" Tax % (as of Mar 23)"</f>
        <v>USA Tax % (as of Mar 23)</v>
      </c>
      <c r="C28" s="334">
        <v>0.21</v>
      </c>
      <c r="D28" s="6"/>
      <c r="E28" s="19"/>
      <c r="F28" s="70"/>
      <c r="G28" s="3"/>
      <c r="H28" s="63"/>
      <c r="I28" s="560"/>
      <c r="J28" s="3"/>
    </row>
    <row r="29" spans="1:14">
      <c r="D29" s="3"/>
      <c r="E29" s="3"/>
      <c r="F29" s="45"/>
      <c r="G29" s="3"/>
      <c r="J29" s="3"/>
    </row>
    <row r="30" spans="1:14">
      <c r="B30" s="149" t="s">
        <v>478</v>
      </c>
      <c r="C30" s="334">
        <v>0.02</v>
      </c>
      <c r="D30" s="3"/>
      <c r="E30" s="3"/>
      <c r="F30" s="45"/>
    </row>
    <row r="31" spans="1:14">
      <c r="D31" s="3"/>
      <c r="E31" s="3"/>
      <c r="F31" s="45"/>
    </row>
    <row r="32" spans="1:14">
      <c r="D32" s="3"/>
      <c r="E32" s="3"/>
      <c r="F32" s="45"/>
    </row>
    <row r="33" spans="4:6">
      <c r="D33" s="3"/>
      <c r="E33" s="3"/>
      <c r="F33" s="45"/>
    </row>
    <row r="34" spans="4:6">
      <c r="D34" s="3"/>
      <c r="E34" s="3"/>
      <c r="F34" s="45"/>
    </row>
  </sheetData>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2"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5" t="s">
        <v>366</v>
      </c>
      <c r="E1" s="3"/>
      <c r="F1" s="45"/>
      <c r="G1" s="3"/>
      <c r="H1" s="3"/>
      <c r="I1" s="3"/>
      <c r="J1" s="3"/>
      <c r="K1" s="3"/>
      <c r="L1" s="3"/>
      <c r="M1" s="3"/>
      <c r="N1" s="3"/>
    </row>
    <row r="2" spans="2:14">
      <c r="E2" s="3"/>
      <c r="F2" s="45"/>
      <c r="G2" s="3"/>
      <c r="H2" s="3"/>
      <c r="I2" s="3"/>
      <c r="J2" s="3"/>
      <c r="K2" s="3"/>
      <c r="L2" s="3"/>
      <c r="M2" s="3"/>
      <c r="N2" s="3"/>
    </row>
    <row r="3" spans="2:14">
      <c r="B3" s="3"/>
      <c r="C3" s="54"/>
      <c r="D3" s="18"/>
      <c r="E3" s="37"/>
      <c r="F3" s="65"/>
      <c r="G3" s="61"/>
      <c r="H3" s="60"/>
      <c r="I3" s="60"/>
      <c r="J3" s="60"/>
      <c r="K3" s="3"/>
      <c r="L3" s="66"/>
      <c r="M3" s="60"/>
      <c r="N3" s="3"/>
    </row>
    <row r="4" spans="2:14">
      <c r="C4" s="128"/>
      <c r="D4" s="5"/>
      <c r="E4" s="3"/>
      <c r="F4" s="49"/>
      <c r="G4" s="62"/>
      <c r="H4" s="63"/>
      <c r="I4" s="37"/>
      <c r="J4" s="47"/>
      <c r="K4" s="3"/>
      <c r="L4" s="48"/>
      <c r="M4" s="56"/>
      <c r="N4" s="3"/>
    </row>
    <row r="5" spans="2:14">
      <c r="C5" s="159"/>
      <c r="D5" s="5"/>
      <c r="E5" s="3"/>
      <c r="F5" s="49"/>
      <c r="G5" s="62"/>
      <c r="H5" s="63"/>
      <c r="I5" s="37"/>
      <c r="J5" s="47"/>
      <c r="K5" s="3"/>
      <c r="L5" s="48"/>
      <c r="M5" s="56"/>
      <c r="N5" s="3"/>
    </row>
    <row r="6" spans="2:14">
      <c r="C6" s="50"/>
      <c r="D6" s="20"/>
      <c r="E6" s="3"/>
      <c r="F6" s="49"/>
      <c r="G6" s="62"/>
      <c r="H6" s="63"/>
      <c r="I6" s="37"/>
      <c r="J6" s="47"/>
      <c r="K6" s="3"/>
      <c r="L6" s="48"/>
      <c r="M6" s="56"/>
      <c r="N6" s="3"/>
    </row>
    <row r="7" spans="2:14">
      <c r="C7" s="51"/>
      <c r="D7" s="5"/>
      <c r="E7" s="3"/>
      <c r="F7" s="49"/>
      <c r="G7" s="62"/>
      <c r="H7" s="63"/>
      <c r="I7" s="37"/>
      <c r="J7" s="47"/>
      <c r="K7" s="3"/>
      <c r="L7" s="48"/>
      <c r="M7" s="56"/>
      <c r="N7" s="3"/>
    </row>
    <row r="8" spans="2:14">
      <c r="C8" s="36"/>
      <c r="D8" s="5"/>
      <c r="E8" s="3"/>
      <c r="F8" s="49"/>
      <c r="G8" s="62"/>
      <c r="H8" s="63"/>
      <c r="I8" s="37"/>
      <c r="J8" s="47"/>
      <c r="K8" s="3"/>
      <c r="L8" s="48"/>
      <c r="M8" s="56"/>
      <c r="N8" s="3"/>
    </row>
    <row r="9" spans="2:14">
      <c r="B9" s="3"/>
      <c r="C9" s="54"/>
      <c r="D9" s="5"/>
      <c r="E9" s="3"/>
      <c r="F9" s="49"/>
      <c r="G9" s="62"/>
      <c r="H9" s="63"/>
      <c r="I9" s="37"/>
      <c r="J9" s="47"/>
      <c r="K9" s="3"/>
      <c r="L9" s="48"/>
      <c r="M9" s="56"/>
      <c r="N9" s="3"/>
    </row>
    <row r="10" spans="2:14">
      <c r="B10" s="3"/>
      <c r="C10" s="54"/>
      <c r="D10" s="5"/>
      <c r="E10" s="3"/>
      <c r="F10" s="49"/>
      <c r="G10" s="62"/>
      <c r="H10" s="63"/>
      <c r="I10" s="37"/>
      <c r="J10" s="47"/>
      <c r="K10" s="3"/>
      <c r="L10" s="46"/>
      <c r="M10" s="3"/>
      <c r="N10" s="3"/>
    </row>
    <row r="11" spans="2:14">
      <c r="B11" s="3"/>
      <c r="C11" s="55"/>
      <c r="D11" s="5"/>
      <c r="E11" s="3"/>
      <c r="F11" s="49"/>
      <c r="G11" s="62"/>
      <c r="H11" s="63"/>
      <c r="I11" s="37"/>
      <c r="J11" s="47"/>
      <c r="K11" s="3"/>
      <c r="L11" s="52"/>
      <c r="M11" s="57"/>
      <c r="N11" s="3"/>
    </row>
    <row r="12" spans="2:14">
      <c r="B12" s="3"/>
      <c r="C12" s="3"/>
      <c r="D12" s="5"/>
      <c r="E12" s="3"/>
      <c r="F12" s="49"/>
      <c r="G12" s="62"/>
      <c r="H12" s="63"/>
      <c r="I12" s="37"/>
      <c r="J12" s="47"/>
      <c r="K12" s="3"/>
      <c r="L12" s="44"/>
      <c r="M12" s="57"/>
      <c r="N12" s="3"/>
    </row>
    <row r="13" spans="2:14">
      <c r="B13" s="3"/>
      <c r="C13" s="39"/>
      <c r="D13" s="5"/>
      <c r="E13" s="3"/>
      <c r="F13" s="49"/>
      <c r="G13" s="62"/>
      <c r="H13" s="63"/>
      <c r="I13" s="37"/>
      <c r="J13" s="47"/>
      <c r="K13" s="3"/>
      <c r="L13" s="3"/>
      <c r="M13" s="3"/>
      <c r="N13" s="3"/>
    </row>
    <row r="14" spans="2:14">
      <c r="B14" s="19"/>
      <c r="C14" s="19"/>
      <c r="D14" s="20"/>
      <c r="E14" s="3"/>
      <c r="F14" s="48"/>
      <c r="G14" s="6"/>
      <c r="H14" s="3"/>
      <c r="I14" s="37"/>
      <c r="J14" s="19"/>
      <c r="K14" s="3"/>
      <c r="L14" s="3"/>
      <c r="M14" s="3"/>
      <c r="N14" s="3"/>
    </row>
    <row r="15" spans="2:14">
      <c r="B15" s="3"/>
      <c r="C15" s="71"/>
      <c r="D15" s="5"/>
      <c r="E15" s="37"/>
      <c r="F15" s="44"/>
      <c r="G15" s="3"/>
      <c r="H15" s="3"/>
      <c r="I15" s="3"/>
      <c r="J15" s="3"/>
      <c r="K15" s="3"/>
      <c r="L15" s="3"/>
      <c r="M15" s="3"/>
      <c r="N15" s="3"/>
    </row>
    <row r="16" spans="2:14">
      <c r="B16" s="3"/>
      <c r="C16" s="3"/>
      <c r="D16" s="5"/>
      <c r="E16" s="37"/>
      <c r="F16" s="52"/>
      <c r="G16" s="53"/>
      <c r="H16" s="35"/>
      <c r="I16" s="3"/>
      <c r="J16" s="3"/>
      <c r="K16" s="3"/>
      <c r="L16" s="3"/>
      <c r="M16" s="3"/>
      <c r="N16" s="3"/>
    </row>
    <row r="17" spans="2:14">
      <c r="B17" s="3"/>
      <c r="C17" s="51"/>
      <c r="D17" s="5"/>
      <c r="E17" s="37"/>
      <c r="F17" s="44"/>
      <c r="G17" s="53"/>
      <c r="H17" s="3"/>
      <c r="I17" s="3"/>
      <c r="J17" s="3"/>
      <c r="K17" s="3"/>
      <c r="L17" s="3"/>
      <c r="M17" s="3"/>
      <c r="N17" s="3"/>
    </row>
    <row r="18" spans="2:14">
      <c r="B18" s="3"/>
      <c r="C18" s="3"/>
      <c r="D18" s="20"/>
      <c r="E18" s="37"/>
      <c r="F18" s="44"/>
      <c r="G18" s="3"/>
      <c r="H18" s="3"/>
      <c r="I18" s="3"/>
      <c r="J18" s="3"/>
      <c r="K18" s="3"/>
      <c r="L18" s="3"/>
      <c r="M18" s="3"/>
      <c r="N18" s="3"/>
    </row>
    <row r="19" spans="2:14">
      <c r="B19" s="19"/>
      <c r="C19" s="19"/>
      <c r="D19" s="5"/>
      <c r="E19" s="37"/>
      <c r="F19" s="44"/>
      <c r="G19" s="3"/>
      <c r="H19" s="3"/>
      <c r="I19" s="3"/>
      <c r="J19" s="3"/>
      <c r="K19" s="3"/>
      <c r="L19" s="3"/>
      <c r="M19" s="3"/>
      <c r="N19" s="3"/>
    </row>
    <row r="20" spans="2:14">
      <c r="B20" s="3"/>
      <c r="C20" s="3"/>
      <c r="D20" s="5"/>
      <c r="E20" s="64"/>
      <c r="F20" s="66"/>
      <c r="G20" s="66"/>
      <c r="H20" s="66"/>
      <c r="I20" s="66"/>
      <c r="J20" s="66"/>
      <c r="K20" s="66"/>
      <c r="L20" s="3"/>
      <c r="M20" s="3"/>
      <c r="N20" s="3"/>
    </row>
    <row r="21" spans="2:14">
      <c r="B21" s="3"/>
      <c r="C21" s="3"/>
      <c r="D21" s="5"/>
      <c r="E21" s="58"/>
      <c r="F21" s="67"/>
      <c r="G21" s="6"/>
      <c r="H21" s="6"/>
      <c r="I21" s="6"/>
      <c r="J21" s="6"/>
      <c r="K21" s="6"/>
      <c r="L21" s="3"/>
      <c r="M21" s="3"/>
      <c r="N21" s="3"/>
    </row>
    <row r="22" spans="2:14">
      <c r="B22" s="3"/>
      <c r="C22" s="3"/>
      <c r="D22" s="5"/>
      <c r="E22" s="37"/>
      <c r="F22" s="45"/>
      <c r="G22" s="45"/>
      <c r="H22" s="45"/>
      <c r="I22" s="59"/>
      <c r="J22" s="44"/>
      <c r="K22" s="45"/>
      <c r="L22" s="3"/>
      <c r="M22" s="3"/>
      <c r="N22" s="3"/>
    </row>
    <row r="23" spans="2:14">
      <c r="B23" s="19"/>
      <c r="C23" s="19"/>
      <c r="D23" s="20"/>
      <c r="E23" s="37"/>
      <c r="F23" s="3"/>
      <c r="G23" s="3"/>
      <c r="H23" s="3"/>
      <c r="I23" s="3"/>
      <c r="J23" s="3"/>
      <c r="K23" s="3"/>
      <c r="L23" s="68"/>
      <c r="M23" s="3"/>
      <c r="N23" s="3"/>
    </row>
    <row r="24" spans="2:14">
      <c r="B24" s="3"/>
      <c r="C24" s="3"/>
      <c r="D24" s="5"/>
      <c r="E24" s="37"/>
      <c r="F24" s="3"/>
      <c r="G24" s="3"/>
      <c r="H24" s="3"/>
      <c r="I24" s="3"/>
      <c r="J24" s="3"/>
      <c r="K24" s="3"/>
      <c r="L24" s="3"/>
      <c r="M24" s="3"/>
      <c r="N24" s="3"/>
    </row>
    <row r="25" spans="2:14">
      <c r="B25" s="3"/>
      <c r="C25" s="3"/>
      <c r="D25" s="5"/>
      <c r="E25" s="5"/>
      <c r="F25" s="45"/>
      <c r="G25" s="3"/>
      <c r="H25" s="52"/>
      <c r="I25" s="53"/>
      <c r="J25" s="3"/>
      <c r="K25" s="3"/>
      <c r="L25" s="3"/>
      <c r="M25" s="3"/>
      <c r="N25" s="3"/>
    </row>
    <row r="26" spans="2:14">
      <c r="B26" s="3"/>
      <c r="C26" s="3"/>
      <c r="D26" s="5"/>
      <c r="E26" s="20"/>
      <c r="F26" s="36"/>
      <c r="G26" s="3"/>
      <c r="H26" s="44"/>
      <c r="I26" s="53"/>
      <c r="J26" s="3"/>
      <c r="K26" s="3"/>
      <c r="L26" s="69"/>
      <c r="M26" s="3"/>
      <c r="N26" s="3"/>
    </row>
    <row r="27" spans="2:14">
      <c r="B27" s="3"/>
      <c r="C27" s="3"/>
      <c r="D27" s="20"/>
      <c r="E27" s="19"/>
      <c r="F27" s="70"/>
      <c r="G27" s="3"/>
      <c r="H27" s="3"/>
      <c r="I27" s="3"/>
      <c r="J27" s="3"/>
      <c r="K27" s="3"/>
      <c r="L27" s="3"/>
      <c r="M27" s="3"/>
      <c r="N27" s="3"/>
    </row>
    <row r="28" spans="2:14">
      <c r="B28" s="3"/>
      <c r="C28" s="3"/>
      <c r="D28" s="6"/>
      <c r="E28" s="19"/>
      <c r="F28" s="70"/>
      <c r="G28" s="3"/>
      <c r="H28" s="3"/>
      <c r="I28" s="3"/>
      <c r="J28" s="3"/>
      <c r="K28" s="3"/>
      <c r="L28" s="3"/>
      <c r="M28" s="3"/>
      <c r="N28" s="3"/>
    </row>
    <row r="29" spans="2:14">
      <c r="B29" s="3"/>
      <c r="C29" s="3"/>
      <c r="D29" s="3"/>
      <c r="E29" s="3"/>
      <c r="F29" s="45"/>
      <c r="G29" s="3"/>
      <c r="H29" s="3"/>
      <c r="I29" s="3"/>
      <c r="J29" s="3"/>
      <c r="K29" s="3"/>
      <c r="L29" s="3"/>
      <c r="M29" s="3"/>
      <c r="N29" s="3"/>
    </row>
    <row r="30" spans="2:14">
      <c r="B30" s="3"/>
      <c r="C30" s="3"/>
      <c r="D30" s="3"/>
      <c r="E30" s="3"/>
      <c r="F30" s="45"/>
    </row>
    <row r="31" spans="2:14">
      <c r="D31" s="3"/>
      <c r="E31" s="3"/>
      <c r="F31" s="45"/>
    </row>
    <row r="32" spans="2:14">
      <c r="D32" s="3"/>
      <c r="E32" s="3"/>
      <c r="F32" s="45"/>
    </row>
    <row r="33" spans="4:6">
      <c r="D33" s="3"/>
      <c r="E33" s="3"/>
      <c r="F33" s="45"/>
    </row>
    <row r="34" spans="4:6">
      <c r="D34" s="3"/>
      <c r="E34" s="3"/>
      <c r="F34" s="45"/>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L34"/>
  <sheetViews>
    <sheetView zoomScaleNormal="100" workbookViewId="0"/>
  </sheetViews>
  <sheetFormatPr defaultRowHeight="12"/>
  <cols>
    <col min="1" max="1" width="2" style="2" customWidth="1"/>
    <col min="2" max="2" width="22.28515625" style="2" customWidth="1"/>
    <col min="3" max="3" width="13.42578125" style="2" customWidth="1"/>
    <col min="4" max="4" width="3.28515625" style="2" customWidth="1"/>
    <col min="5" max="5" width="20.5703125" style="2" customWidth="1"/>
    <col min="6" max="6" width="10" style="12" bestFit="1" customWidth="1"/>
    <col min="7" max="7" width="11.42578125" style="2" customWidth="1"/>
    <col min="8" max="8" width="48.7109375" style="2" customWidth="1"/>
    <col min="9" max="9" width="10" style="2" customWidth="1"/>
    <col min="10" max="10" width="7.85546875" style="2" customWidth="1"/>
    <col min="11" max="11" width="10.28515625" style="2" customWidth="1"/>
    <col min="12" max="16384" width="9.140625" style="2"/>
  </cols>
  <sheetData>
    <row r="1" spans="2:12" ht="15.75">
      <c r="B1" s="15" t="s">
        <v>129</v>
      </c>
      <c r="E1" s="3"/>
      <c r="F1" s="45"/>
      <c r="G1" s="3"/>
      <c r="H1" s="3"/>
      <c r="I1" s="3"/>
      <c r="J1" s="3"/>
      <c r="K1" s="3"/>
      <c r="L1" s="3"/>
    </row>
    <row r="2" spans="2:12">
      <c r="E2" s="3"/>
      <c r="F2" s="45"/>
      <c r="G2" s="3"/>
      <c r="H2" s="3"/>
      <c r="I2" s="3"/>
      <c r="J2" s="3"/>
      <c r="K2" s="3"/>
    </row>
    <row r="3" spans="2:12">
      <c r="B3" s="247" t="s">
        <v>133</v>
      </c>
      <c r="C3" s="247"/>
      <c r="D3" s="18"/>
      <c r="E3" s="37"/>
      <c r="F3" s="65"/>
      <c r="G3" s="61"/>
      <c r="H3" s="247" t="s">
        <v>493</v>
      </c>
      <c r="I3" s="66"/>
      <c r="J3" s="60"/>
      <c r="K3" s="3"/>
    </row>
    <row r="4" spans="2:12" ht="12.75" thickBot="1">
      <c r="B4" s="252" t="s">
        <v>348</v>
      </c>
      <c r="C4" s="253"/>
      <c r="G4" s="62"/>
      <c r="H4" s="252"/>
      <c r="I4" s="48"/>
      <c r="J4" s="56"/>
      <c r="K4" s="3"/>
    </row>
    <row r="5" spans="2:12">
      <c r="B5" s="251" t="s">
        <v>130</v>
      </c>
      <c r="C5" s="251" t="s">
        <v>131</v>
      </c>
      <c r="D5" s="5"/>
      <c r="E5" s="3"/>
      <c r="F5" s="49"/>
      <c r="G5" s="62"/>
      <c r="H5" s="2" t="s">
        <v>494</v>
      </c>
      <c r="I5" s="48"/>
      <c r="J5" s="56"/>
      <c r="K5" s="3"/>
    </row>
    <row r="6" spans="2:12">
      <c r="B6" s="35" t="s">
        <v>739</v>
      </c>
      <c r="C6" s="249" t="s">
        <v>741</v>
      </c>
      <c r="D6" s="2" t="s">
        <v>134</v>
      </c>
      <c r="E6" s="3"/>
      <c r="F6" s="49"/>
      <c r="G6" s="62"/>
      <c r="H6" s="2" t="s">
        <v>495</v>
      </c>
      <c r="I6" s="48"/>
      <c r="J6" s="56"/>
      <c r="K6" s="3"/>
    </row>
    <row r="7" spans="2:12">
      <c r="B7" s="250" t="s">
        <v>740</v>
      </c>
      <c r="C7" s="249" t="s">
        <v>742</v>
      </c>
      <c r="D7" s="20"/>
      <c r="E7" s="3"/>
      <c r="F7" s="49"/>
      <c r="G7" s="62"/>
      <c r="H7" s="2" t="s">
        <v>496</v>
      </c>
      <c r="I7" s="48"/>
      <c r="J7" s="56"/>
      <c r="K7" s="3"/>
    </row>
    <row r="8" spans="2:12">
      <c r="B8" s="250" t="s">
        <v>743</v>
      </c>
      <c r="C8" s="249" t="s">
        <v>744</v>
      </c>
      <c r="D8" s="5"/>
      <c r="E8" s="3"/>
      <c r="F8" s="49"/>
      <c r="G8" s="62"/>
      <c r="H8" s="2" t="s">
        <v>497</v>
      </c>
      <c r="J8" s="48"/>
      <c r="K8" s="56"/>
      <c r="L8" s="3"/>
    </row>
    <row r="9" spans="2:12">
      <c r="B9" s="250" t="s">
        <v>745</v>
      </c>
      <c r="C9" s="249" t="s">
        <v>744</v>
      </c>
      <c r="D9" s="5"/>
      <c r="E9" s="3"/>
      <c r="F9" s="49"/>
      <c r="G9" s="62"/>
      <c r="H9" s="2" t="s">
        <v>498</v>
      </c>
      <c r="I9" s="3"/>
      <c r="J9" s="48"/>
      <c r="K9" s="56"/>
      <c r="L9" s="3"/>
    </row>
    <row r="10" spans="2:12">
      <c r="B10" s="250" t="s">
        <v>746</v>
      </c>
      <c r="C10" s="249" t="s">
        <v>744</v>
      </c>
      <c r="D10" s="5"/>
      <c r="E10" s="3"/>
      <c r="F10" s="49"/>
      <c r="G10" s="62"/>
      <c r="H10" s="2" t="s">
        <v>499</v>
      </c>
      <c r="I10" s="3"/>
      <c r="J10" s="46"/>
      <c r="K10" s="3"/>
      <c r="L10" s="3"/>
    </row>
    <row r="11" spans="2:12">
      <c r="B11" s="250" t="s">
        <v>747</v>
      </c>
      <c r="C11" s="249" t="s">
        <v>744</v>
      </c>
      <c r="D11" s="5"/>
      <c r="E11" s="3"/>
      <c r="F11" s="49"/>
      <c r="G11" s="62"/>
      <c r="H11" s="2" t="s">
        <v>500</v>
      </c>
      <c r="I11" s="3"/>
      <c r="J11" s="52"/>
      <c r="K11" s="57"/>
      <c r="L11" s="3"/>
    </row>
    <row r="12" spans="2:12">
      <c r="B12" s="35"/>
      <c r="C12" s="249"/>
      <c r="D12" s="5"/>
      <c r="E12" s="3"/>
      <c r="F12" s="49"/>
      <c r="G12" s="62"/>
      <c r="H12" s="2" t="s">
        <v>501</v>
      </c>
      <c r="I12" s="3"/>
      <c r="J12" s="44"/>
      <c r="K12" s="57"/>
      <c r="L12" s="3"/>
    </row>
    <row r="13" spans="2:12">
      <c r="B13" s="247" t="s">
        <v>132</v>
      </c>
      <c r="C13" s="247"/>
      <c r="D13" s="5"/>
      <c r="E13" s="247" t="s">
        <v>222</v>
      </c>
      <c r="F13" s="247"/>
      <c r="G13" s="62"/>
      <c r="H13" s="2" t="s">
        <v>502</v>
      </c>
      <c r="I13" s="3"/>
      <c r="J13" s="3"/>
      <c r="K13" s="3"/>
      <c r="L13" s="3"/>
    </row>
    <row r="14" spans="2:12" ht="12.75" thickBot="1">
      <c r="B14" s="252" t="s">
        <v>348</v>
      </c>
      <c r="C14" s="253"/>
      <c r="D14" s="5"/>
      <c r="E14" s="252" t="s">
        <v>348</v>
      </c>
      <c r="F14" s="253"/>
      <c r="G14" s="6"/>
      <c r="H14" s="2" t="s">
        <v>503</v>
      </c>
      <c r="I14" s="3"/>
      <c r="J14" s="3"/>
      <c r="K14" s="3"/>
      <c r="L14" s="3"/>
    </row>
    <row r="15" spans="2:12">
      <c r="B15" s="251" t="s">
        <v>130</v>
      </c>
      <c r="C15" s="251" t="s">
        <v>131</v>
      </c>
      <c r="E15" s="251" t="s">
        <v>130</v>
      </c>
      <c r="F15" s="258" t="s">
        <v>122</v>
      </c>
      <c r="G15" s="3"/>
      <c r="H15" s="2" t="s">
        <v>504</v>
      </c>
      <c r="I15" s="3"/>
      <c r="J15" s="3"/>
      <c r="K15" s="3"/>
      <c r="L15" s="3"/>
    </row>
    <row r="16" spans="2:12">
      <c r="B16" s="35" t="s">
        <v>739</v>
      </c>
      <c r="C16" s="249" t="s">
        <v>763</v>
      </c>
      <c r="D16" s="5"/>
      <c r="E16" s="38" t="s">
        <v>223</v>
      </c>
      <c r="F16" s="366">
        <v>0.5877</v>
      </c>
      <c r="G16" s="53"/>
      <c r="H16" s="2" t="s">
        <v>505</v>
      </c>
      <c r="I16" s="3"/>
      <c r="J16" s="3"/>
      <c r="K16" s="3"/>
      <c r="L16" s="3"/>
    </row>
    <row r="17" spans="2:12">
      <c r="B17" s="250" t="s">
        <v>748</v>
      </c>
      <c r="C17" s="254" t="s">
        <v>749</v>
      </c>
      <c r="E17" s="38" t="s">
        <v>224</v>
      </c>
      <c r="F17" s="366">
        <v>1.34E-2</v>
      </c>
      <c r="G17" s="53"/>
      <c r="H17" s="2" t="s">
        <v>506</v>
      </c>
      <c r="I17" s="3"/>
      <c r="J17" s="3"/>
      <c r="K17" s="3"/>
      <c r="L17" s="3"/>
    </row>
    <row r="18" spans="2:12">
      <c r="B18" s="250" t="s">
        <v>750</v>
      </c>
      <c r="C18" s="255" t="s">
        <v>751</v>
      </c>
      <c r="E18" s="38" t="s">
        <v>225</v>
      </c>
      <c r="F18" s="366">
        <v>0.39889999999999998</v>
      </c>
      <c r="G18" s="3"/>
      <c r="H18" s="2" t="s">
        <v>507</v>
      </c>
      <c r="I18" s="3"/>
      <c r="J18" s="3"/>
      <c r="K18" s="3"/>
      <c r="L18" s="3"/>
    </row>
    <row r="19" spans="2:12">
      <c r="B19" s="250" t="s">
        <v>752</v>
      </c>
      <c r="C19" s="256" t="s">
        <v>753</v>
      </c>
      <c r="E19" s="261" t="s">
        <v>349</v>
      </c>
      <c r="F19" s="259">
        <f>SUM(F16:F18)</f>
        <v>1</v>
      </c>
      <c r="G19" s="3"/>
      <c r="H19" s="2" t="s">
        <v>508</v>
      </c>
      <c r="I19" s="3"/>
      <c r="J19" s="3"/>
      <c r="K19" s="3"/>
      <c r="L19" s="3"/>
    </row>
    <row r="20" spans="2:12">
      <c r="B20" s="250" t="s">
        <v>754</v>
      </c>
      <c r="C20" s="256" t="s">
        <v>755</v>
      </c>
      <c r="D20" s="5"/>
      <c r="E20" s="586" t="s">
        <v>518</v>
      </c>
      <c r="F20" s="45"/>
      <c r="G20" s="66"/>
      <c r="H20" s="2" t="s">
        <v>509</v>
      </c>
      <c r="I20" s="66"/>
      <c r="J20" s="3"/>
      <c r="K20" s="3"/>
      <c r="L20" s="3"/>
    </row>
    <row r="21" spans="2:12">
      <c r="B21" s="250" t="s">
        <v>756</v>
      </c>
      <c r="C21" s="257" t="s">
        <v>757</v>
      </c>
      <c r="D21" s="5"/>
      <c r="G21" s="6"/>
      <c r="H21" s="2" t="s">
        <v>510</v>
      </c>
      <c r="I21" s="6"/>
      <c r="J21" s="3"/>
      <c r="K21" s="3"/>
      <c r="L21" s="3"/>
    </row>
    <row r="22" spans="2:12">
      <c r="B22" s="35" t="s">
        <v>758</v>
      </c>
      <c r="C22" s="249" t="s">
        <v>759</v>
      </c>
      <c r="D22" s="20"/>
      <c r="E22" s="35" t="s">
        <v>135</v>
      </c>
      <c r="F22" s="35">
        <v>4</v>
      </c>
      <c r="G22" s="45"/>
      <c r="H22" s="2" t="s">
        <v>511</v>
      </c>
      <c r="I22" s="45"/>
      <c r="J22" s="3"/>
      <c r="K22" s="3"/>
      <c r="L22" s="3"/>
    </row>
    <row r="23" spans="2:12">
      <c r="B23" s="35" t="s">
        <v>760</v>
      </c>
      <c r="C23" s="249" t="s">
        <v>761</v>
      </c>
      <c r="D23" s="5"/>
      <c r="E23" s="35" t="s">
        <v>136</v>
      </c>
      <c r="F23" s="35">
        <v>2</v>
      </c>
      <c r="G23" s="3"/>
      <c r="H23" s="2" t="s">
        <v>513</v>
      </c>
      <c r="I23" s="3"/>
      <c r="J23" s="68"/>
      <c r="K23" s="3"/>
      <c r="L23" s="3"/>
    </row>
    <row r="24" spans="2:12">
      <c r="B24" s="206" t="s">
        <v>762</v>
      </c>
      <c r="D24" s="5"/>
      <c r="E24" s="35" t="s">
        <v>137</v>
      </c>
      <c r="F24" s="35">
        <v>5</v>
      </c>
      <c r="G24" s="3"/>
      <c r="H24" s="2" t="s">
        <v>512</v>
      </c>
      <c r="I24" s="3"/>
      <c r="J24" s="3"/>
      <c r="K24" s="3"/>
      <c r="L24" s="3"/>
    </row>
    <row r="25" spans="2:12">
      <c r="D25" s="6"/>
      <c r="E25" s="35" t="s">
        <v>138</v>
      </c>
      <c r="F25" s="35">
        <v>9</v>
      </c>
      <c r="G25" s="3"/>
      <c r="H25" s="3"/>
      <c r="I25" s="3"/>
      <c r="J25" s="3"/>
      <c r="K25" s="3"/>
      <c r="L25" s="3"/>
    </row>
    <row r="26" spans="2:12" ht="12" customHeight="1">
      <c r="D26" s="3"/>
      <c r="E26" s="262" t="s">
        <v>129</v>
      </c>
      <c r="F26" s="262">
        <v>7</v>
      </c>
      <c r="G26" s="3"/>
      <c r="H26" s="3"/>
      <c r="I26" s="3"/>
      <c r="J26" s="69"/>
      <c r="K26" s="3"/>
      <c r="L26" s="3"/>
    </row>
    <row r="27" spans="2:12">
      <c r="G27" s="3"/>
      <c r="H27" s="3"/>
      <c r="I27" s="3"/>
      <c r="J27" s="3"/>
      <c r="K27" s="3"/>
      <c r="L27" s="3"/>
    </row>
    <row r="28" spans="2:12">
      <c r="G28" s="3"/>
      <c r="H28" s="3"/>
      <c r="I28" s="3"/>
      <c r="J28" s="3"/>
      <c r="K28" s="3"/>
      <c r="L28" s="3"/>
    </row>
    <row r="29" spans="2:12">
      <c r="G29" s="3"/>
      <c r="H29" s="3"/>
      <c r="I29" s="3"/>
      <c r="J29" s="3"/>
      <c r="K29" s="3"/>
      <c r="L29" s="3"/>
    </row>
    <row r="30" spans="2:12">
      <c r="D30" s="3"/>
      <c r="E30" s="3"/>
      <c r="F30" s="45"/>
    </row>
    <row r="31" spans="2:12">
      <c r="D31" s="3"/>
      <c r="E31" s="3"/>
      <c r="F31" s="45"/>
    </row>
    <row r="32" spans="2:12">
      <c r="D32" s="3"/>
      <c r="E32" s="3"/>
      <c r="F32" s="45"/>
    </row>
    <row r="33" spans="4:6">
      <c r="D33" s="3"/>
      <c r="E33" s="3"/>
      <c r="F33" s="45"/>
    </row>
    <row r="34" spans="4:6">
      <c r="D34" s="3"/>
      <c r="E34" s="3"/>
      <c r="F34" s="45"/>
    </row>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35"/>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0" t="s">
        <v>41</v>
      </c>
      <c r="C1" s="8"/>
    </row>
    <row r="2" spans="2:3">
      <c r="B2" s="31"/>
      <c r="C2" s="8"/>
    </row>
    <row r="3" spans="2:3">
      <c r="B3" s="8"/>
      <c r="C3" s="8"/>
    </row>
    <row r="4" spans="2:3">
      <c r="B4" s="43" t="s">
        <v>0</v>
      </c>
      <c r="C4" s="43" t="s">
        <v>1</v>
      </c>
    </row>
    <row r="5" spans="2:3">
      <c r="B5" s="264">
        <v>1</v>
      </c>
      <c r="C5" s="263" t="s">
        <v>6</v>
      </c>
    </row>
    <row r="6" spans="2:3">
      <c r="B6" s="32">
        <f>B5+1</f>
        <v>2</v>
      </c>
      <c r="C6" s="265" t="s">
        <v>157</v>
      </c>
    </row>
    <row r="7" spans="2:3">
      <c r="B7" s="32">
        <f t="shared" ref="B7:B35" si="0">B6+1</f>
        <v>3</v>
      </c>
      <c r="C7" s="265" t="s">
        <v>146</v>
      </c>
    </row>
    <row r="8" spans="2:3">
      <c r="B8" s="32">
        <f t="shared" si="0"/>
        <v>4</v>
      </c>
      <c r="C8" s="265" t="s">
        <v>158</v>
      </c>
    </row>
    <row r="9" spans="2:3">
      <c r="B9" s="32">
        <f t="shared" si="0"/>
        <v>5</v>
      </c>
      <c r="C9" s="265" t="s">
        <v>156</v>
      </c>
    </row>
    <row r="10" spans="2:3">
      <c r="B10" s="32">
        <f t="shared" si="0"/>
        <v>6</v>
      </c>
      <c r="C10" s="263" t="s">
        <v>40</v>
      </c>
    </row>
    <row r="11" spans="2:3">
      <c r="B11" s="32">
        <f t="shared" si="0"/>
        <v>7</v>
      </c>
      <c r="C11" s="265" t="s">
        <v>174</v>
      </c>
    </row>
    <row r="12" spans="2:3">
      <c r="B12" s="32">
        <f t="shared" si="0"/>
        <v>8</v>
      </c>
      <c r="C12" s="265" t="s">
        <v>50</v>
      </c>
    </row>
    <row r="13" spans="2:3">
      <c r="B13" s="32">
        <f t="shared" si="0"/>
        <v>9</v>
      </c>
      <c r="C13" s="265" t="s">
        <v>57</v>
      </c>
    </row>
    <row r="14" spans="2:3">
      <c r="B14" s="32">
        <f t="shared" si="0"/>
        <v>10</v>
      </c>
      <c r="C14" s="263" t="s">
        <v>69</v>
      </c>
    </row>
    <row r="15" spans="2:3">
      <c r="B15" s="32">
        <f t="shared" si="0"/>
        <v>11</v>
      </c>
      <c r="C15" s="265" t="s">
        <v>66</v>
      </c>
    </row>
    <row r="16" spans="2:3">
      <c r="B16" s="32">
        <f t="shared" si="0"/>
        <v>12</v>
      </c>
      <c r="C16" s="265" t="s">
        <v>314</v>
      </c>
    </row>
    <row r="17" spans="2:3">
      <c r="B17" s="32">
        <f t="shared" si="0"/>
        <v>13</v>
      </c>
      <c r="C17" s="265" t="s">
        <v>67</v>
      </c>
    </row>
    <row r="18" spans="2:3">
      <c r="B18" s="32">
        <f t="shared" si="0"/>
        <v>14</v>
      </c>
      <c r="C18" s="265" t="s">
        <v>68</v>
      </c>
    </row>
    <row r="19" spans="2:3">
      <c r="B19" s="32">
        <f t="shared" si="0"/>
        <v>15</v>
      </c>
      <c r="C19" s="263" t="s">
        <v>104</v>
      </c>
    </row>
    <row r="20" spans="2:3">
      <c r="B20" s="32">
        <f t="shared" si="0"/>
        <v>16</v>
      </c>
      <c r="C20" s="265" t="s">
        <v>89</v>
      </c>
    </row>
    <row r="21" spans="2:3">
      <c r="B21" s="32">
        <f t="shared" si="0"/>
        <v>17</v>
      </c>
      <c r="C21" s="265" t="s">
        <v>117</v>
      </c>
    </row>
    <row r="22" spans="2:3">
      <c r="B22" s="32">
        <f t="shared" si="0"/>
        <v>18</v>
      </c>
      <c r="C22" s="265" t="s">
        <v>103</v>
      </c>
    </row>
    <row r="23" spans="2:3">
      <c r="B23" s="32">
        <f t="shared" si="0"/>
        <v>19</v>
      </c>
      <c r="C23" s="263" t="s">
        <v>415</v>
      </c>
    </row>
    <row r="24" spans="2:3">
      <c r="B24" s="32">
        <f t="shared" si="0"/>
        <v>20</v>
      </c>
      <c r="C24" s="265" t="s">
        <v>409</v>
      </c>
    </row>
    <row r="25" spans="2:3">
      <c r="B25" s="32">
        <f t="shared" si="0"/>
        <v>21</v>
      </c>
      <c r="C25" s="265" t="s">
        <v>416</v>
      </c>
    </row>
    <row r="26" spans="2:3">
      <c r="B26" s="32">
        <f t="shared" si="0"/>
        <v>22</v>
      </c>
      <c r="C26" s="263" t="s">
        <v>260</v>
      </c>
    </row>
    <row r="27" spans="2:3">
      <c r="B27" s="32">
        <f t="shared" si="0"/>
        <v>23</v>
      </c>
      <c r="C27" s="265" t="s">
        <v>304</v>
      </c>
    </row>
    <row r="28" spans="2:3">
      <c r="B28" s="32">
        <f t="shared" si="0"/>
        <v>24</v>
      </c>
      <c r="C28" s="266" t="s">
        <v>258</v>
      </c>
    </row>
    <row r="29" spans="2:3">
      <c r="B29" s="32">
        <f t="shared" si="0"/>
        <v>25</v>
      </c>
      <c r="C29" s="266" t="s">
        <v>280</v>
      </c>
    </row>
    <row r="30" spans="2:3">
      <c r="B30" s="32">
        <f t="shared" si="0"/>
        <v>26</v>
      </c>
      <c r="C30" s="263" t="s">
        <v>318</v>
      </c>
    </row>
    <row r="31" spans="2:3">
      <c r="B31" s="32">
        <f>B30+1</f>
        <v>27</v>
      </c>
      <c r="C31" s="265" t="s">
        <v>767</v>
      </c>
    </row>
    <row r="32" spans="2:3">
      <c r="B32" s="32">
        <f t="shared" si="0"/>
        <v>28</v>
      </c>
      <c r="C32" s="263" t="s">
        <v>461</v>
      </c>
    </row>
    <row r="33" spans="2:3">
      <c r="B33" s="32">
        <f t="shared" si="0"/>
        <v>29</v>
      </c>
      <c r="C33" s="265" t="s">
        <v>374</v>
      </c>
    </row>
    <row r="34" spans="2:3">
      <c r="B34" s="32">
        <f t="shared" si="0"/>
        <v>30</v>
      </c>
      <c r="C34" s="265" t="s">
        <v>435</v>
      </c>
    </row>
    <row r="35" spans="2:3">
      <c r="B35" s="32">
        <f t="shared" si="0"/>
        <v>31</v>
      </c>
      <c r="C35" s="265" t="s">
        <v>463</v>
      </c>
    </row>
  </sheetData>
  <hyperlinks>
    <hyperlink ref="C15" location="'Expected Growth Rate'!A1" display="Expected Growth Rate"/>
    <hyperlink ref="C17" location="'Future Cashflows (10 Yrs)'!A1" display="Future Cash Flows (10 Yrs)"/>
    <hyperlink ref="C18" location="'Terminal Value'!A1" display="Terminal Value"/>
    <hyperlink ref="C20" location="'Cash &amp; Marketable Securities'!A1" display="Cash and Marketable Securities"/>
    <hyperlink ref="C8" location="'Bottom Up Beta'!A1" display="Bottom Up Beta"/>
    <hyperlink ref="C9" location="'Cost of Equity, Debt &amp; WACC'!A1" display="Cost of Equity, Debt &amp; WACC"/>
    <hyperlink ref="C6" location="'Risk Free Rate &amp; ERP'!A1" display="Risk Free Rate &amp; ERP"/>
    <hyperlink ref="C22" location="'Fair Value of Share'!A1" display="Fair Value of Share"/>
    <hyperlink ref="C11" location="'Accounting Adjustments'!A1" display="Accounting Adjustments"/>
    <hyperlink ref="C12" location="Reinvestment!A1" display="Reinvestment"/>
    <hyperlink ref="C13" location="'FCFF &amp; FCFE'!A1" display="FCFE &amp; FCFF"/>
    <hyperlink ref="C7" location="Index!A1" display="Beta Calculation Data"/>
    <hyperlink ref="C21" location="'Future Value (Equity Options)'!A1" display="Future Value of Equity Options"/>
    <hyperlink ref="C27" location="'Debt Design Explained'!A1" display="Debt Design Explained"/>
    <hyperlink ref="C29" location="'Adjusted Present Value'!A1" display="Adjusted Present Value"/>
    <hyperlink ref="C28" location="'Optimal Cost of Capital'!A1" display="Optimal Cost of Capital"/>
    <hyperlink ref="C16" location="'Key Performance Indicators'!A1" display="Key Performance Indicators"/>
    <hyperlink ref="C31" location="'Cash Return Explained'!A1" display="Cash Return Explained"/>
    <hyperlink ref="C24" location="'Sensitivity Analysis'!A1" display="Sensitivity Analysis"/>
    <hyperlink ref="C25" location="'Scenario Analysis'!A1" display="Scenario Analysis"/>
    <hyperlink ref="C33:C35" location="'Dividend-Buyback Explained'!A1" display="Dividend-Buyback Explained"/>
    <hyperlink ref="C33" location="'Income Statement'!A1" display="Income Statement"/>
    <hyperlink ref="C34" location="'Balance Sheet'!A1" display="Balance Sheet"/>
    <hyperlink ref="C35" location="'Cash Flow Statement'!A1" display="Cash Flow Statement"/>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3"/>
  <sheetViews>
    <sheetView zoomScaleNormal="100" workbookViewId="0"/>
  </sheetViews>
  <sheetFormatPr defaultRowHeight="12"/>
  <cols>
    <col min="1" max="1" width="2" style="2" customWidth="1"/>
    <col min="2" max="2" width="24" style="2" customWidth="1"/>
    <col min="3" max="3" width="12.42578125" style="2" customWidth="1"/>
    <col min="4" max="4" width="9.28515625" style="2" customWidth="1"/>
    <col min="5" max="5" width="10.5703125" style="2" customWidth="1"/>
    <col min="6" max="6" width="10.42578125" style="2" customWidth="1"/>
    <col min="7" max="7" width="9.140625" style="2" customWidth="1"/>
    <col min="8" max="8" width="10.85546875" style="2" customWidth="1"/>
    <col min="9" max="18" width="10.7109375" style="2" customWidth="1"/>
    <col min="19" max="16384" width="9.140625" style="2"/>
  </cols>
  <sheetData>
    <row r="1" spans="2:8" ht="15.75">
      <c r="B1" s="15" t="s">
        <v>128</v>
      </c>
    </row>
    <row r="3" spans="2:8">
      <c r="B3" s="35" t="s">
        <v>305</v>
      </c>
      <c r="C3" s="337">
        <f>Drivers!C22</f>
        <v>3.4320000000000003E-2</v>
      </c>
      <c r="D3" s="18"/>
    </row>
    <row r="4" spans="2:8">
      <c r="B4" s="35" t="s">
        <v>30</v>
      </c>
      <c r="C4" s="26" t="str">
        <f>Drivers!C23</f>
        <v>AAA</v>
      </c>
      <c r="D4" s="5"/>
    </row>
    <row r="5" spans="2:8">
      <c r="B5" s="35" t="s">
        <v>306</v>
      </c>
      <c r="C5" s="36">
        <f>VLOOKUP(C4,Drivers!$E$3:$F$24,2,0)</f>
        <v>0</v>
      </c>
      <c r="D5" s="5"/>
    </row>
    <row r="6" spans="2:8">
      <c r="B6" s="261" t="s">
        <v>330</v>
      </c>
      <c r="C6" s="338">
        <f>C3</f>
        <v>3.4320000000000003E-2</v>
      </c>
      <c r="D6" s="20"/>
    </row>
    <row r="7" spans="2:8">
      <c r="D7" s="5"/>
    </row>
    <row r="8" spans="2:8">
      <c r="B8" s="276" t="s">
        <v>8</v>
      </c>
      <c r="C8" s="268">
        <f>E20</f>
        <v>5.5261482151772102E-2</v>
      </c>
    </row>
    <row r="10" spans="2:8">
      <c r="B10" s="277" t="s">
        <v>351</v>
      </c>
      <c r="C10" s="267" t="s">
        <v>4</v>
      </c>
      <c r="D10" s="267" t="s">
        <v>122</v>
      </c>
      <c r="E10" s="267" t="s">
        <v>109</v>
      </c>
      <c r="F10" s="267" t="s">
        <v>232</v>
      </c>
      <c r="G10" s="267" t="s">
        <v>118</v>
      </c>
      <c r="H10" s="267" t="s">
        <v>352</v>
      </c>
    </row>
    <row r="11" spans="2:8" ht="12.75" thickBot="1">
      <c r="B11" s="592"/>
      <c r="C11" s="593" t="str">
        <f>"in mil "&amp;Drivers!$C$5</f>
        <v>in mil $</v>
      </c>
      <c r="D11" s="485"/>
      <c r="E11" s="485"/>
      <c r="F11" s="485"/>
      <c r="G11" s="485"/>
      <c r="H11" s="485"/>
    </row>
    <row r="12" spans="2:8">
      <c r="B12" s="250" t="s">
        <v>331</v>
      </c>
      <c r="C12" s="278">
        <f>39218+16</f>
        <v>39234</v>
      </c>
      <c r="D12" s="63">
        <f>C12/$C$20</f>
        <v>0.58902834494355027</v>
      </c>
      <c r="E12" s="335">
        <f>Drivers!C25</f>
        <v>4.7800000000000002E-2</v>
      </c>
      <c r="F12" s="336">
        <f>Drivers!C26</f>
        <v>0</v>
      </c>
      <c r="G12" s="336">
        <f>Drivers!C27</f>
        <v>0</v>
      </c>
      <c r="H12" s="335">
        <f>Drivers!C28</f>
        <v>0.21</v>
      </c>
    </row>
    <row r="13" spans="2:8">
      <c r="B13" s="35" t="s">
        <v>528</v>
      </c>
      <c r="C13" s="278">
        <v>8393</v>
      </c>
      <c r="D13" s="63">
        <f>C13/$C$20</f>
        <v>0.12600588517895747</v>
      </c>
      <c r="E13" s="269">
        <f>$E$12+F13</f>
        <v>6.1468800788686953E-2</v>
      </c>
      <c r="F13" s="281">
        <v>1.3668800788686953E-2</v>
      </c>
      <c r="G13" s="281">
        <v>1.9281546633950514E-2</v>
      </c>
      <c r="H13" s="280">
        <v>0.24521330317788381</v>
      </c>
    </row>
    <row r="14" spans="2:8">
      <c r="B14" s="35" t="s">
        <v>529</v>
      </c>
      <c r="C14" s="278">
        <v>7916</v>
      </c>
      <c r="D14" s="63">
        <f>C14/$C$20</f>
        <v>0.11884458323324526</v>
      </c>
      <c r="E14" s="269">
        <f>$E$12+F14</f>
        <v>6.6391070551587106E-2</v>
      </c>
      <c r="F14" s="280">
        <f>E27</f>
        <v>1.8591070551587104E-2</v>
      </c>
      <c r="G14" s="280">
        <f>F27</f>
        <v>2.6225021445346965E-2</v>
      </c>
      <c r="H14" s="280">
        <f>G27</f>
        <v>0.23678460586138067</v>
      </c>
    </row>
    <row r="15" spans="2:8">
      <c r="B15" s="250" t="s">
        <v>530</v>
      </c>
      <c r="C15" s="278">
        <v>5047</v>
      </c>
      <c r="D15" s="63">
        <f t="shared" ref="D15:D19" si="0">C15/$C$20</f>
        <v>7.5771679077588278E-2</v>
      </c>
      <c r="E15" s="269">
        <f t="shared" ref="E15:E19" si="1">$E$12+F15</f>
        <v>6.5566934990427039E-2</v>
      </c>
      <c r="F15" s="280">
        <v>1.7766934990427034E-2</v>
      </c>
      <c r="G15" s="281">
        <v>2.5062475549707256E-2</v>
      </c>
      <c r="H15" s="280">
        <v>0.15181337167475101</v>
      </c>
    </row>
    <row r="16" spans="2:8">
      <c r="B16" s="250" t="s">
        <v>531</v>
      </c>
      <c r="C16" s="278">
        <v>1612</v>
      </c>
      <c r="D16" s="63">
        <f t="shared" si="0"/>
        <v>2.4201297141484505E-2</v>
      </c>
      <c r="E16" s="269">
        <f t="shared" si="1"/>
        <v>4.7800000000000002E-2</v>
      </c>
      <c r="F16" s="280">
        <v>0</v>
      </c>
      <c r="G16" s="280">
        <v>0</v>
      </c>
      <c r="H16" s="280">
        <v>0.25</v>
      </c>
    </row>
    <row r="17" spans="2:8">
      <c r="B17" s="250" t="s">
        <v>532</v>
      </c>
      <c r="C17" s="278">
        <v>1576</v>
      </c>
      <c r="D17" s="63">
        <f t="shared" si="0"/>
        <v>2.3660821522940186E-2</v>
      </c>
      <c r="E17" s="269">
        <f>$E$12+F17</f>
        <v>4.7800000000000002E-2</v>
      </c>
      <c r="F17" s="280">
        <v>0</v>
      </c>
      <c r="G17" s="280">
        <v>0</v>
      </c>
      <c r="H17" s="280">
        <v>0.29721092725087606</v>
      </c>
    </row>
    <row r="18" spans="2:8">
      <c r="B18" s="250" t="s">
        <v>533</v>
      </c>
      <c r="C18" s="278">
        <v>418</v>
      </c>
      <c r="D18" s="63">
        <f t="shared" si="0"/>
        <v>6.2755224597645931E-3</v>
      </c>
      <c r="E18" s="269">
        <f t="shared" si="1"/>
        <v>0.116109048958459</v>
      </c>
      <c r="F18" s="280">
        <v>6.830904895845899E-2</v>
      </c>
      <c r="G18" s="280">
        <v>9.6358424808081405E-2</v>
      </c>
      <c r="H18" s="280">
        <v>0.27268967770769714</v>
      </c>
    </row>
    <row r="19" spans="2:8">
      <c r="B19" s="250" t="s">
        <v>534</v>
      </c>
      <c r="C19" s="278">
        <v>2412</v>
      </c>
      <c r="D19" s="63">
        <f t="shared" si="0"/>
        <v>3.6211866442469376E-2</v>
      </c>
      <c r="E19" s="269">
        <f t="shared" si="1"/>
        <v>9.6258681715630817E-2</v>
      </c>
      <c r="F19" s="280">
        <f>E33</f>
        <v>4.8458681715630808E-2</v>
      </c>
      <c r="G19" s="280">
        <f t="shared" ref="G19:H19" si="2">F33</f>
        <v>6.8357008472391123E-2</v>
      </c>
      <c r="H19" s="280">
        <f t="shared" si="2"/>
        <v>0.311161298386673</v>
      </c>
    </row>
    <row r="20" spans="2:8">
      <c r="C20" s="279">
        <f>SUM(C12:C19)</f>
        <v>66608</v>
      </c>
      <c r="D20" s="131">
        <f>SUM(D12:D19)</f>
        <v>1</v>
      </c>
      <c r="E20" s="131">
        <f>($D12*E12)+($D13*E13)+($D14*E14)+($D15*E15)+($D16*E16)+($D17*E17)+($D18*E18)+($D19*E19)</f>
        <v>5.5261482151772102E-2</v>
      </c>
      <c r="F20" s="131">
        <f>($D12*F12)+($D13*F13)+($D14*F14)+($D15*F15)+($D16*F16)+($D17*F17)+($D18*F18)+($D19*F19)</f>
        <v>7.4614821517720951E-3</v>
      </c>
      <c r="G20" s="131">
        <f>($D12*G12)+($D13*G13)+($D14*G14)+($D15*G15)+($D16*G16)+($D17*G17)+($D18*G18)+($D19*G19)</f>
        <v>1.052535026970741E-2</v>
      </c>
      <c r="H20" s="131">
        <f>($D12*H12)+($D13*H13)+($D14*H14)+($D15*H15)+($D16*H16)+($D17*H17)+($D18*H18)+($D19*H19)</f>
        <v>0.22029957420656662</v>
      </c>
    </row>
    <row r="23" spans="2:8">
      <c r="B23" s="277" t="s">
        <v>529</v>
      </c>
      <c r="C23" s="267" t="s">
        <v>537</v>
      </c>
      <c r="D23" s="267" t="s">
        <v>122</v>
      </c>
      <c r="E23" s="267" t="s">
        <v>232</v>
      </c>
      <c r="F23" s="267" t="s">
        <v>118</v>
      </c>
      <c r="G23" s="267" t="s">
        <v>352</v>
      </c>
    </row>
    <row r="24" spans="2:8" ht="12.75" thickBot="1">
      <c r="B24" s="592"/>
      <c r="C24" s="593" t="s">
        <v>538</v>
      </c>
      <c r="D24" s="485"/>
      <c r="E24" s="485"/>
      <c r="F24" s="485"/>
      <c r="G24" s="485"/>
    </row>
    <row r="25" spans="2:8">
      <c r="B25" s="2" t="s">
        <v>535</v>
      </c>
      <c r="C25" s="443">
        <v>20545428.62071047</v>
      </c>
      <c r="D25" s="594">
        <f>C25/$C$27</f>
        <v>0.82250050509441652</v>
      </c>
      <c r="E25" s="269">
        <v>1.0682352271974054E-2</v>
      </c>
      <c r="F25" s="269">
        <v>1.5068788892060588E-2</v>
      </c>
      <c r="G25" s="269">
        <v>0.24828912576026474</v>
      </c>
    </row>
    <row r="26" spans="2:8">
      <c r="B26" s="2" t="s">
        <v>536</v>
      </c>
      <c r="C26" s="443">
        <v>4433800.5632910877</v>
      </c>
      <c r="D26" s="594">
        <f>C26/$C$27</f>
        <v>0.17749949490558353</v>
      </c>
      <c r="E26" s="269">
        <v>5.5238638383210012E-2</v>
      </c>
      <c r="F26" s="269">
        <v>7.7920982129121116E-2</v>
      </c>
      <c r="G26" s="269">
        <v>0.18347474471087855</v>
      </c>
    </row>
    <row r="27" spans="2:8">
      <c r="C27" s="597">
        <f>SUM(C25:C26)</f>
        <v>24979229.184001558</v>
      </c>
      <c r="D27" s="595">
        <f>SUM(D25:D26)</f>
        <v>1</v>
      </c>
      <c r="E27" s="596">
        <f>(E25*$D25)+(E26*$D26)</f>
        <v>1.8591070551587104E-2</v>
      </c>
      <c r="F27" s="596">
        <f>(F25*$D25)+(F26*$D26)</f>
        <v>2.6225021445346965E-2</v>
      </c>
      <c r="G27" s="596">
        <f>(G25*$D25)+(G26*$D26)</f>
        <v>0.23678460586138067</v>
      </c>
    </row>
    <row r="29" spans="2:8">
      <c r="B29" s="277" t="s">
        <v>539</v>
      </c>
      <c r="C29" s="267" t="s">
        <v>537</v>
      </c>
      <c r="D29" s="267" t="s">
        <v>122</v>
      </c>
      <c r="E29" s="267" t="s">
        <v>232</v>
      </c>
      <c r="F29" s="267" t="s">
        <v>118</v>
      </c>
      <c r="G29" s="267" t="s">
        <v>352</v>
      </c>
    </row>
    <row r="30" spans="2:8" ht="12.75" thickBot="1">
      <c r="B30" s="592"/>
      <c r="C30" s="593" t="s">
        <v>538</v>
      </c>
      <c r="D30" s="485"/>
      <c r="E30" s="485"/>
      <c r="F30" s="485"/>
      <c r="G30" s="485"/>
    </row>
    <row r="31" spans="2:8">
      <c r="B31" s="2" t="s">
        <v>540</v>
      </c>
      <c r="C31" s="443">
        <v>4881187.1920141988</v>
      </c>
      <c r="D31" s="594">
        <f>C31/$C$33</f>
        <v>0.94161290164900913</v>
      </c>
      <c r="E31" s="269">
        <v>4.6544446090017511E-2</v>
      </c>
      <c r="F31" s="269">
        <v>6.5656740610255004E-2</v>
      </c>
      <c r="G31" s="269">
        <v>0.31456268874307608</v>
      </c>
    </row>
    <row r="32" spans="2:8">
      <c r="B32" s="2" t="s">
        <v>541</v>
      </c>
      <c r="C32" s="443">
        <v>302670.40325235901</v>
      </c>
      <c r="D32" s="594">
        <f>C32/$C$33</f>
        <v>5.8387098350990763E-2</v>
      </c>
      <c r="E32" s="269">
        <v>7.9329696251037377E-2</v>
      </c>
      <c r="F32" s="269">
        <v>0.11190442097799</v>
      </c>
      <c r="G32" s="269">
        <v>0.25630683338345972</v>
      </c>
    </row>
    <row r="33" spans="3:7">
      <c r="C33" s="597">
        <f>SUM(C31:C32)</f>
        <v>5183857.5952665582</v>
      </c>
      <c r="D33" s="595">
        <f>SUM(D31:D32)</f>
        <v>0.99999999999999989</v>
      </c>
      <c r="E33" s="596">
        <f>(E31*$D31)+(E32*$D32)</f>
        <v>4.8458681715630808E-2</v>
      </c>
      <c r="F33" s="596">
        <f>(F31*$D31)+(F32*$D32)</f>
        <v>6.8357008472391123E-2</v>
      </c>
      <c r="G33" s="596">
        <f>(G31*$D31)+(G32*$D32)</f>
        <v>0.311161298386673</v>
      </c>
    </row>
  </sheetData>
  <pageMargins left="0.7" right="0.7" top="0.75" bottom="0.75" header="0.3" footer="0.3"/>
  <pageSetup paperSize="1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X625"/>
  <sheetViews>
    <sheetView zoomScaleNormal="100" workbookViewId="0"/>
  </sheetViews>
  <sheetFormatPr defaultRowHeight="12"/>
  <cols>
    <col min="1" max="1" width="2" style="2" customWidth="1"/>
    <col min="2" max="2" width="28.42578125" style="2" customWidth="1"/>
    <col min="3" max="3" width="12.140625" style="2" customWidth="1"/>
    <col min="4" max="4" width="13.28515625" style="2" customWidth="1"/>
    <col min="5" max="5" width="15.140625" style="2" customWidth="1"/>
    <col min="6" max="6" width="11.28515625" style="2" customWidth="1"/>
    <col min="7" max="7" width="13.28515625" style="12" customWidth="1"/>
    <col min="8" max="8" width="12.28515625" style="2" customWidth="1"/>
    <col min="9" max="9" width="10.42578125" style="2" customWidth="1"/>
    <col min="10" max="10" width="15.28515625" style="2" customWidth="1"/>
    <col min="11" max="11" width="10.28515625" style="2" customWidth="1"/>
    <col min="12" max="12" width="11.28515625" style="2" customWidth="1"/>
    <col min="13" max="13" width="11.140625" style="2" customWidth="1"/>
    <col min="14" max="14" width="10.85546875" style="2" customWidth="1"/>
    <col min="15" max="15" width="9.7109375" style="2" customWidth="1"/>
    <col min="16" max="16" width="9.140625" style="2"/>
    <col min="17" max="17" width="12.140625" style="2" customWidth="1"/>
    <col min="18" max="18" width="11.42578125" style="2" bestFit="1" customWidth="1"/>
    <col min="19" max="19" width="11.7109375" style="2" customWidth="1"/>
    <col min="20" max="20" width="9.140625" style="2"/>
    <col min="21" max="21" width="15" style="2" bestFit="1" customWidth="1"/>
    <col min="22" max="22" width="11.42578125" style="2" bestFit="1" customWidth="1"/>
    <col min="23" max="23" width="10" style="2" bestFit="1" customWidth="1"/>
    <col min="24" max="24" width="11.42578125" style="2" bestFit="1" customWidth="1"/>
    <col min="25" max="25" width="13.5703125" style="2" bestFit="1" customWidth="1"/>
    <col min="26" max="26" width="10" style="2" bestFit="1" customWidth="1"/>
    <col min="27" max="16384" width="9.140625" style="2"/>
  </cols>
  <sheetData>
    <row r="1" spans="2:24" ht="15.75">
      <c r="B1" s="15" t="s">
        <v>146</v>
      </c>
      <c r="E1" s="3"/>
      <c r="F1" s="3"/>
      <c r="G1" s="45"/>
      <c r="H1" s="3"/>
      <c r="I1" s="3"/>
      <c r="J1" s="3"/>
      <c r="K1" s="3"/>
      <c r="L1" s="3"/>
      <c r="M1" s="3"/>
      <c r="N1" s="3"/>
      <c r="O1" s="3"/>
      <c r="P1" s="3"/>
    </row>
    <row r="2" spans="2:24">
      <c r="M2" s="142"/>
      <c r="N2" s="73"/>
      <c r="O2" s="73"/>
      <c r="P2" s="73"/>
    </row>
    <row r="3" spans="2:24">
      <c r="B3" s="247" t="str">
        <f>CONCATENATE("Industry: ",Drivers!$C$14)</f>
        <v>Industry: Aerospace &amp; Defense</v>
      </c>
      <c r="C3" s="247"/>
      <c r="D3" s="247"/>
      <c r="E3" s="247"/>
      <c r="F3" s="247"/>
      <c r="G3" s="247"/>
      <c r="H3" s="247"/>
      <c r="I3" s="247"/>
      <c r="J3" s="247"/>
      <c r="K3" s="247"/>
      <c r="L3" s="247"/>
      <c r="M3" s="247"/>
      <c r="N3" s="247"/>
      <c r="O3" s="247"/>
      <c r="P3" s="73"/>
      <c r="Q3" s="73"/>
    </row>
    <row r="4" spans="2:24" ht="12.75" thickBot="1">
      <c r="B4" s="291" t="s">
        <v>353</v>
      </c>
      <c r="C4" s="290"/>
      <c r="D4" s="290"/>
      <c r="E4" s="290"/>
      <c r="F4" s="290"/>
      <c r="G4" s="290"/>
      <c r="H4" s="290"/>
      <c r="I4" s="290"/>
      <c r="J4" s="290"/>
      <c r="K4" s="290"/>
      <c r="L4" s="290"/>
      <c r="M4" s="290"/>
      <c r="N4" s="290"/>
      <c r="O4" s="290"/>
      <c r="V4" s="121"/>
      <c r="W4" s="121"/>
      <c r="X4" s="121"/>
    </row>
    <row r="5" spans="2:24">
      <c r="B5" s="37" t="s">
        <v>110</v>
      </c>
      <c r="C5" s="37" t="s">
        <v>33</v>
      </c>
      <c r="D5" s="146" t="s">
        <v>139</v>
      </c>
      <c r="E5" s="47" t="s">
        <v>147</v>
      </c>
      <c r="F5" s="47" t="s">
        <v>307</v>
      </c>
      <c r="G5" s="47" t="s">
        <v>140</v>
      </c>
      <c r="H5" s="47" t="s">
        <v>141</v>
      </c>
      <c r="I5" s="47" t="s">
        <v>142</v>
      </c>
      <c r="J5" s="47" t="s">
        <v>143</v>
      </c>
      <c r="K5" s="47" t="s">
        <v>144</v>
      </c>
      <c r="L5" s="47" t="s">
        <v>145</v>
      </c>
      <c r="M5" s="47" t="s">
        <v>34</v>
      </c>
      <c r="N5" s="47" t="s">
        <v>177</v>
      </c>
      <c r="O5" s="47" t="s">
        <v>178</v>
      </c>
      <c r="Q5" s="12"/>
      <c r="U5" s="227"/>
      <c r="V5" s="227"/>
    </row>
    <row r="6" spans="2:24">
      <c r="B6" s="121" t="s">
        <v>543</v>
      </c>
      <c r="C6" s="62" t="s">
        <v>542</v>
      </c>
      <c r="D6" s="599">
        <v>2.16</v>
      </c>
      <c r="E6" s="282">
        <v>694.63800000000003</v>
      </c>
      <c r="F6" s="283">
        <v>23.1</v>
      </c>
      <c r="G6" s="283">
        <f>E6+F6</f>
        <v>717.73800000000006</v>
      </c>
      <c r="H6" s="283">
        <v>746.9</v>
      </c>
      <c r="I6" s="283">
        <f>G6-H6</f>
        <v>-29.161999999999921</v>
      </c>
      <c r="J6" s="284">
        <f>H6/G6</f>
        <v>1.040630425029746</v>
      </c>
      <c r="K6" s="140">
        <f>F6/E6</f>
        <v>3.325473124130842E-2</v>
      </c>
      <c r="L6" s="285">
        <v>0</v>
      </c>
      <c r="M6" s="236" t="s">
        <v>105</v>
      </c>
      <c r="N6" s="140">
        <v>0</v>
      </c>
      <c r="O6" s="236" t="s">
        <v>105</v>
      </c>
      <c r="Q6" s="227"/>
      <c r="U6" s="12"/>
      <c r="X6" s="227"/>
    </row>
    <row r="7" spans="2:24">
      <c r="B7" s="121" t="s">
        <v>545</v>
      </c>
      <c r="C7" s="62" t="s">
        <v>544</v>
      </c>
      <c r="D7" s="599">
        <v>1.59</v>
      </c>
      <c r="E7" s="282">
        <v>1851</v>
      </c>
      <c r="F7" s="283">
        <v>156.30000000000001</v>
      </c>
      <c r="G7" s="283">
        <f t="shared" ref="G7:G70" si="0">E7+F7</f>
        <v>2007.3</v>
      </c>
      <c r="H7" s="283">
        <v>53.5</v>
      </c>
      <c r="I7" s="283">
        <f t="shared" ref="I7:I70" si="1">G7-H7</f>
        <v>1953.8</v>
      </c>
      <c r="J7" s="284">
        <f t="shared" ref="J7:J70" si="2">H7/G7</f>
        <v>2.665271758082997E-2</v>
      </c>
      <c r="K7" s="140">
        <f t="shared" ref="K7:K70" si="3">F7/E7</f>
        <v>8.4440842787682338E-2</v>
      </c>
      <c r="L7" s="285">
        <v>0</v>
      </c>
      <c r="M7" s="236" t="s">
        <v>105</v>
      </c>
      <c r="N7" s="140">
        <v>0</v>
      </c>
      <c r="O7" s="236" t="s">
        <v>105</v>
      </c>
      <c r="Q7" s="12"/>
      <c r="U7" s="12"/>
    </row>
    <row r="8" spans="2:24">
      <c r="B8" s="121" t="s">
        <v>547</v>
      </c>
      <c r="C8" s="147" t="s">
        <v>546</v>
      </c>
      <c r="D8" s="599">
        <v>0.89</v>
      </c>
      <c r="E8" s="282">
        <v>12.052</v>
      </c>
      <c r="F8" s="286">
        <v>27.289000000000001</v>
      </c>
      <c r="G8" s="283">
        <f t="shared" si="0"/>
        <v>39.341000000000001</v>
      </c>
      <c r="H8" s="283">
        <v>0.627</v>
      </c>
      <c r="I8" s="283">
        <f t="shared" si="1"/>
        <v>38.713999999999999</v>
      </c>
      <c r="J8" s="284">
        <f t="shared" si="2"/>
        <v>1.5937571490302737E-2</v>
      </c>
      <c r="K8" s="140">
        <f t="shared" si="3"/>
        <v>2.2642714902090941</v>
      </c>
      <c r="L8" s="170">
        <v>54.768000000000001</v>
      </c>
      <c r="M8" s="140">
        <f t="shared" ref="M8:M70" si="4">I8/L8</f>
        <v>0.70687262635115389</v>
      </c>
      <c r="N8" s="140">
        <v>0</v>
      </c>
      <c r="O8" s="236" t="s">
        <v>105</v>
      </c>
      <c r="Q8" s="227"/>
      <c r="U8" s="12"/>
      <c r="X8" s="227"/>
    </row>
    <row r="9" spans="2:24">
      <c r="B9" s="121" t="s">
        <v>549</v>
      </c>
      <c r="C9" s="147" t="s">
        <v>548</v>
      </c>
      <c r="D9" s="599">
        <v>0.55000000000000004</v>
      </c>
      <c r="E9" s="282">
        <v>4541</v>
      </c>
      <c r="F9" s="283">
        <v>349.3</v>
      </c>
      <c r="G9" s="283">
        <f t="shared" si="0"/>
        <v>4890.3</v>
      </c>
      <c r="H9" s="286">
        <v>332.6</v>
      </c>
      <c r="I9" s="283">
        <f t="shared" si="1"/>
        <v>4557.7</v>
      </c>
      <c r="J9" s="284">
        <f t="shared" si="2"/>
        <v>6.801218739136658E-2</v>
      </c>
      <c r="K9" s="140">
        <f t="shared" si="3"/>
        <v>7.6921382955296186E-2</v>
      </c>
      <c r="L9" s="285">
        <v>2237.6</v>
      </c>
      <c r="M9" s="140">
        <f t="shared" si="4"/>
        <v>2.0368698605648912</v>
      </c>
      <c r="N9" s="140">
        <v>0</v>
      </c>
      <c r="O9" s="236" t="s">
        <v>105</v>
      </c>
      <c r="Q9" s="12"/>
      <c r="U9" s="12"/>
    </row>
    <row r="10" spans="2:24">
      <c r="B10" s="121" t="s">
        <v>551</v>
      </c>
      <c r="C10" s="147" t="s">
        <v>550</v>
      </c>
      <c r="D10" s="599">
        <v>-0.64</v>
      </c>
      <c r="E10" s="282">
        <v>17.513999999999999</v>
      </c>
      <c r="F10" s="283">
        <v>1.0369999999999999</v>
      </c>
      <c r="G10" s="283">
        <f t="shared" si="0"/>
        <v>18.550999999999998</v>
      </c>
      <c r="H10" s="283">
        <v>52.625999999999998</v>
      </c>
      <c r="I10" s="283">
        <f t="shared" si="1"/>
        <v>-34.075000000000003</v>
      </c>
      <c r="J10" s="284">
        <f t="shared" si="2"/>
        <v>2.8368282033313568</v>
      </c>
      <c r="K10" s="140">
        <f t="shared" si="3"/>
        <v>5.9209775037113166E-2</v>
      </c>
      <c r="L10" s="285">
        <v>0.42199999999999999</v>
      </c>
      <c r="M10" s="140">
        <f t="shared" si="4"/>
        <v>-80.746445497630347</v>
      </c>
      <c r="N10" s="140">
        <v>0</v>
      </c>
      <c r="O10" s="236" t="s">
        <v>105</v>
      </c>
      <c r="Q10" s="12"/>
      <c r="U10" s="12"/>
      <c r="X10" s="227"/>
    </row>
    <row r="11" spans="2:24">
      <c r="B11" s="121" t="s">
        <v>553</v>
      </c>
      <c r="C11" s="147" t="s">
        <v>552</v>
      </c>
      <c r="D11" s="599">
        <v>2.16</v>
      </c>
      <c r="E11" s="282">
        <v>109.471</v>
      </c>
      <c r="F11" s="283">
        <v>8.8840000000000003</v>
      </c>
      <c r="G11" s="283">
        <f t="shared" si="0"/>
        <v>118.355</v>
      </c>
      <c r="H11" s="283">
        <v>325.00700000000001</v>
      </c>
      <c r="I11" s="283">
        <f t="shared" si="1"/>
        <v>-206.65199999999999</v>
      </c>
      <c r="J11" s="284">
        <f t="shared" si="2"/>
        <v>2.7460352329855096</v>
      </c>
      <c r="K11" s="140">
        <f t="shared" si="3"/>
        <v>8.1153912908441511E-2</v>
      </c>
      <c r="L11" s="285">
        <v>0</v>
      </c>
      <c r="M11" s="236" t="s">
        <v>105</v>
      </c>
      <c r="N11" s="140">
        <v>0</v>
      </c>
      <c r="O11" s="236" t="s">
        <v>105</v>
      </c>
      <c r="Q11" s="227"/>
      <c r="U11" s="12"/>
      <c r="X11" s="227"/>
    </row>
    <row r="12" spans="2:24">
      <c r="B12" s="121" t="s">
        <v>555</v>
      </c>
      <c r="C12" s="62" t="s">
        <v>554</v>
      </c>
      <c r="D12" s="599">
        <v>1.6</v>
      </c>
      <c r="E12" s="282">
        <v>411.34899999999999</v>
      </c>
      <c r="F12" s="287">
        <v>178.38300000000001</v>
      </c>
      <c r="G12" s="283">
        <f t="shared" si="0"/>
        <v>589.73199999999997</v>
      </c>
      <c r="H12" s="283">
        <v>13.778</v>
      </c>
      <c r="I12" s="283">
        <f t="shared" si="1"/>
        <v>575.95399999999995</v>
      </c>
      <c r="J12" s="284">
        <f t="shared" si="2"/>
        <v>2.3363154788954985E-2</v>
      </c>
      <c r="K12" s="140">
        <f t="shared" si="3"/>
        <v>0.43365366148939227</v>
      </c>
      <c r="L12" s="171">
        <v>534.89400000000001</v>
      </c>
      <c r="M12" s="140">
        <f t="shared" si="4"/>
        <v>1.0767628726439256</v>
      </c>
      <c r="N12" s="140">
        <v>0</v>
      </c>
      <c r="O12" s="236" t="s">
        <v>105</v>
      </c>
      <c r="Q12" s="227"/>
      <c r="U12" s="12"/>
      <c r="X12" s="227"/>
    </row>
    <row r="13" spans="2:24">
      <c r="B13" s="121" t="s">
        <v>557</v>
      </c>
      <c r="C13" s="62" t="s">
        <v>556</v>
      </c>
      <c r="D13" s="599">
        <v>3.96</v>
      </c>
      <c r="E13" s="282">
        <v>43.811</v>
      </c>
      <c r="F13" s="288">
        <v>100.413</v>
      </c>
      <c r="G13" s="283">
        <f t="shared" si="0"/>
        <v>144.22399999999999</v>
      </c>
      <c r="H13" s="287">
        <v>56.292000000000002</v>
      </c>
      <c r="I13" s="283">
        <f t="shared" si="1"/>
        <v>87.931999999999988</v>
      </c>
      <c r="J13" s="284">
        <f t="shared" si="2"/>
        <v>0.39030951852673623</v>
      </c>
      <c r="K13" s="140">
        <f t="shared" si="3"/>
        <v>2.2919586405240691</v>
      </c>
      <c r="L13" s="289">
        <v>107.79</v>
      </c>
      <c r="M13" s="140">
        <f t="shared" si="4"/>
        <v>0.81577140736617482</v>
      </c>
      <c r="N13" s="140">
        <v>23.920999999999999</v>
      </c>
      <c r="O13" s="99">
        <f t="shared" ref="O13:O68" si="5">L13/N13</f>
        <v>4.5060825216337115</v>
      </c>
      <c r="Q13" s="12"/>
      <c r="U13" s="227"/>
      <c r="X13" s="227"/>
    </row>
    <row r="14" spans="2:24">
      <c r="B14" s="121" t="s">
        <v>559</v>
      </c>
      <c r="C14" s="147" t="s">
        <v>558</v>
      </c>
      <c r="D14" s="599">
        <v>0.6</v>
      </c>
      <c r="E14" s="282">
        <v>2566</v>
      </c>
      <c r="F14" s="288">
        <v>216.57400000000001</v>
      </c>
      <c r="G14" s="283">
        <f t="shared" si="0"/>
        <v>2782.5740000000001</v>
      </c>
      <c r="H14" s="288">
        <v>101.947</v>
      </c>
      <c r="I14" s="283">
        <f t="shared" si="1"/>
        <v>2680.627</v>
      </c>
      <c r="J14" s="284">
        <f t="shared" si="2"/>
        <v>3.6637659950822514E-2</v>
      </c>
      <c r="K14" s="140">
        <f t="shared" si="3"/>
        <v>8.4401402961808272E-2</v>
      </c>
      <c r="L14" s="289">
        <v>487.11700000000002</v>
      </c>
      <c r="M14" s="140">
        <f t="shared" si="4"/>
        <v>5.5030454695689119</v>
      </c>
      <c r="N14" s="140">
        <v>0</v>
      </c>
      <c r="O14" s="236" t="s">
        <v>105</v>
      </c>
      <c r="Q14" s="227"/>
      <c r="U14" s="12"/>
    </row>
    <row r="15" spans="2:24">
      <c r="B15" s="121" t="s">
        <v>561</v>
      </c>
      <c r="C15" s="147" t="s">
        <v>560</v>
      </c>
      <c r="D15" s="599">
        <v>0.92</v>
      </c>
      <c r="E15" s="282">
        <v>16248.000000000002</v>
      </c>
      <c r="F15" s="287">
        <v>711.11</v>
      </c>
      <c r="G15" s="283">
        <f t="shared" si="0"/>
        <v>16959.11</v>
      </c>
      <c r="H15" s="288">
        <v>974.69299999999998</v>
      </c>
      <c r="I15" s="283">
        <f t="shared" si="1"/>
        <v>15984.417000000001</v>
      </c>
      <c r="J15" s="284">
        <f t="shared" si="2"/>
        <v>5.747312211548837E-2</v>
      </c>
      <c r="K15" s="140">
        <f t="shared" si="3"/>
        <v>4.376600196947316E-2</v>
      </c>
      <c r="L15" s="171">
        <v>1189.9349999999999</v>
      </c>
      <c r="M15" s="140">
        <f t="shared" si="4"/>
        <v>13.433016929496151</v>
      </c>
      <c r="N15" s="140">
        <v>72.450999999999993</v>
      </c>
      <c r="O15" s="99">
        <f t="shared" si="5"/>
        <v>16.423996908255237</v>
      </c>
      <c r="Q15" s="227"/>
      <c r="U15" s="227"/>
    </row>
    <row r="16" spans="2:24">
      <c r="B16" s="121" t="s">
        <v>563</v>
      </c>
      <c r="C16" s="147" t="s">
        <v>562</v>
      </c>
      <c r="D16" s="599">
        <v>2.0499999999999998</v>
      </c>
      <c r="E16" s="282">
        <v>38.682000000000002</v>
      </c>
      <c r="F16" s="288">
        <v>0.91800000000000004</v>
      </c>
      <c r="G16" s="283">
        <f t="shared" si="0"/>
        <v>39.6</v>
      </c>
      <c r="H16" s="287">
        <v>8.4700000000000006</v>
      </c>
      <c r="I16" s="283">
        <f t="shared" si="1"/>
        <v>31.130000000000003</v>
      </c>
      <c r="J16" s="284">
        <f t="shared" si="2"/>
        <v>0.21388888888888891</v>
      </c>
      <c r="K16" s="140">
        <f t="shared" si="3"/>
        <v>2.3731968357375524E-2</v>
      </c>
      <c r="L16" s="289">
        <v>0</v>
      </c>
      <c r="M16" s="236" t="s">
        <v>105</v>
      </c>
      <c r="N16" s="140">
        <v>0</v>
      </c>
      <c r="O16" s="236" t="s">
        <v>105</v>
      </c>
      <c r="Q16" s="12"/>
      <c r="U16" s="12"/>
      <c r="X16" s="227"/>
    </row>
    <row r="17" spans="2:24">
      <c r="B17" s="121" t="s">
        <v>565</v>
      </c>
      <c r="C17" s="147" t="s">
        <v>564</v>
      </c>
      <c r="D17" s="599">
        <v>0.79</v>
      </c>
      <c r="E17" s="282">
        <v>5734</v>
      </c>
      <c r="F17" s="287">
        <v>1288.874</v>
      </c>
      <c r="G17" s="283">
        <f t="shared" si="0"/>
        <v>7022.8739999999998</v>
      </c>
      <c r="H17" s="288">
        <v>39.048000000000002</v>
      </c>
      <c r="I17" s="283">
        <f t="shared" si="1"/>
        <v>6983.826</v>
      </c>
      <c r="J17" s="284">
        <f t="shared" si="2"/>
        <v>5.5601168410539621E-3</v>
      </c>
      <c r="K17" s="140">
        <f t="shared" si="3"/>
        <v>0.22477746773630974</v>
      </c>
      <c r="L17" s="171">
        <v>2232.8339999999998</v>
      </c>
      <c r="M17" s="140">
        <f t="shared" si="4"/>
        <v>3.1277855854935925</v>
      </c>
      <c r="N17" s="140">
        <v>0</v>
      </c>
      <c r="O17" s="236" t="s">
        <v>105</v>
      </c>
      <c r="Q17" s="227"/>
      <c r="U17" s="12"/>
    </row>
    <row r="18" spans="2:24">
      <c r="B18" s="121" t="s">
        <v>567</v>
      </c>
      <c r="C18" s="59" t="s">
        <v>566</v>
      </c>
      <c r="D18" s="599">
        <v>1.47</v>
      </c>
      <c r="E18" s="282">
        <v>163.34100000000001</v>
      </c>
      <c r="F18" s="286">
        <v>2.5489999999999999</v>
      </c>
      <c r="G18" s="283">
        <f t="shared" si="0"/>
        <v>165.89000000000001</v>
      </c>
      <c r="H18" s="287">
        <v>20.068000000000001</v>
      </c>
      <c r="I18" s="283">
        <f t="shared" si="1"/>
        <v>145.822</v>
      </c>
      <c r="J18" s="284">
        <f t="shared" si="2"/>
        <v>0.12097172825366206</v>
      </c>
      <c r="K18" s="140">
        <f t="shared" si="3"/>
        <v>1.5605389951083928E-2</v>
      </c>
      <c r="L18" s="170">
        <v>48.036000000000001</v>
      </c>
      <c r="M18" s="140">
        <f t="shared" si="4"/>
        <v>3.0356815721542176</v>
      </c>
      <c r="N18" s="140">
        <v>0</v>
      </c>
      <c r="O18" s="236" t="s">
        <v>105</v>
      </c>
      <c r="Q18" s="227"/>
      <c r="U18" s="12"/>
      <c r="X18" s="227"/>
    </row>
    <row r="19" spans="2:24">
      <c r="B19" s="121" t="s">
        <v>569</v>
      </c>
      <c r="C19" s="121" t="s">
        <v>568</v>
      </c>
      <c r="D19" s="599">
        <v>2.0099999999999998</v>
      </c>
      <c r="E19" s="282">
        <v>7333</v>
      </c>
      <c r="F19" s="287">
        <v>3046.2</v>
      </c>
      <c r="G19" s="283">
        <f t="shared" si="0"/>
        <v>10379.200000000001</v>
      </c>
      <c r="H19" s="286">
        <v>346.1</v>
      </c>
      <c r="I19" s="283">
        <f t="shared" si="1"/>
        <v>10033.1</v>
      </c>
      <c r="J19" s="284">
        <f t="shared" si="2"/>
        <v>3.334553722830276E-2</v>
      </c>
      <c r="K19" s="140">
        <f t="shared" si="3"/>
        <v>0.41540979135415246</v>
      </c>
      <c r="L19" s="171">
        <v>3901.8</v>
      </c>
      <c r="M19" s="140">
        <f t="shared" si="4"/>
        <v>2.5714029422317903</v>
      </c>
      <c r="N19" s="140">
        <v>0</v>
      </c>
      <c r="O19" s="236" t="s">
        <v>105</v>
      </c>
      <c r="Q19" s="227"/>
      <c r="U19" s="12"/>
    </row>
    <row r="20" spans="2:24">
      <c r="B20" s="121" t="s">
        <v>571</v>
      </c>
      <c r="C20" s="121" t="s">
        <v>570</v>
      </c>
      <c r="D20" s="236" t="s">
        <v>105</v>
      </c>
      <c r="E20" s="282">
        <v>790.32500000000005</v>
      </c>
      <c r="F20" s="286">
        <v>159.69</v>
      </c>
      <c r="G20" s="283">
        <f t="shared" si="0"/>
        <v>950.0150000000001</v>
      </c>
      <c r="H20" s="287">
        <v>33.856999999999999</v>
      </c>
      <c r="I20" s="283">
        <f t="shared" si="1"/>
        <v>916.15800000000013</v>
      </c>
      <c r="J20" s="284">
        <f t="shared" si="2"/>
        <v>3.5638384657084354E-2</v>
      </c>
      <c r="K20" s="140">
        <f t="shared" si="3"/>
        <v>0.20205611615474645</v>
      </c>
      <c r="L20" s="170">
        <v>437.72899999999998</v>
      </c>
      <c r="M20" s="140">
        <f t="shared" si="4"/>
        <v>2.0929799030907255</v>
      </c>
      <c r="N20" s="140">
        <v>0</v>
      </c>
      <c r="O20" s="236" t="s">
        <v>105</v>
      </c>
      <c r="Q20" s="227"/>
      <c r="U20" s="12"/>
      <c r="X20" s="227"/>
    </row>
    <row r="21" spans="2:24">
      <c r="B21" s="121" t="s">
        <v>573</v>
      </c>
      <c r="C21" s="59" t="s">
        <v>572</v>
      </c>
      <c r="D21" s="599">
        <v>1.1499999999999999</v>
      </c>
      <c r="E21" s="282">
        <v>83.534999999999997</v>
      </c>
      <c r="F21" s="286">
        <v>0</v>
      </c>
      <c r="G21" s="283">
        <f t="shared" si="0"/>
        <v>83.534999999999997</v>
      </c>
      <c r="H21" s="286">
        <v>22.927</v>
      </c>
      <c r="I21" s="283">
        <f t="shared" si="1"/>
        <v>60.607999999999997</v>
      </c>
      <c r="J21" s="284">
        <f t="shared" si="2"/>
        <v>0.27445980726641528</v>
      </c>
      <c r="K21" s="140">
        <f t="shared" si="3"/>
        <v>0</v>
      </c>
      <c r="L21" s="170">
        <v>22.225999999999999</v>
      </c>
      <c r="M21" s="140">
        <f t="shared" si="4"/>
        <v>2.7268964276073069</v>
      </c>
      <c r="N21" s="140">
        <v>0</v>
      </c>
      <c r="O21" s="236" t="s">
        <v>105</v>
      </c>
      <c r="Q21" s="227"/>
      <c r="U21" s="12"/>
      <c r="X21" s="227"/>
    </row>
    <row r="22" spans="2:24">
      <c r="B22" s="121" t="s">
        <v>575</v>
      </c>
      <c r="C22" s="121" t="s">
        <v>574</v>
      </c>
      <c r="D22" s="599">
        <v>1.76</v>
      </c>
      <c r="E22" s="282">
        <v>44.085000000000001</v>
      </c>
      <c r="F22" s="287">
        <v>34.182000000000002</v>
      </c>
      <c r="G22" s="283">
        <f t="shared" si="0"/>
        <v>78.266999999999996</v>
      </c>
      <c r="H22" s="286">
        <v>6.3090000000000002</v>
      </c>
      <c r="I22" s="283">
        <f t="shared" si="1"/>
        <v>71.957999999999998</v>
      </c>
      <c r="J22" s="284">
        <f t="shared" si="2"/>
        <v>8.0608685652957188E-2</v>
      </c>
      <c r="K22" s="140">
        <f t="shared" si="3"/>
        <v>0.77536577067029611</v>
      </c>
      <c r="L22" s="171">
        <v>85.608000000000004</v>
      </c>
      <c r="M22" s="140">
        <f t="shared" si="4"/>
        <v>0.84055228483319311</v>
      </c>
      <c r="N22" s="140">
        <v>0</v>
      </c>
      <c r="O22" s="236" t="s">
        <v>105</v>
      </c>
      <c r="Q22" s="227"/>
      <c r="U22" s="12"/>
      <c r="X22" s="227"/>
    </row>
    <row r="23" spans="2:24">
      <c r="B23" s="121" t="s">
        <v>577</v>
      </c>
      <c r="C23" s="121" t="s">
        <v>576</v>
      </c>
      <c r="D23" s="599">
        <v>1.24</v>
      </c>
      <c r="E23" s="282">
        <v>6660</v>
      </c>
      <c r="F23" s="286">
        <v>1410.5540000000001</v>
      </c>
      <c r="G23" s="283">
        <f t="shared" si="0"/>
        <v>8070.5540000000001</v>
      </c>
      <c r="H23" s="287">
        <v>256.97399999999999</v>
      </c>
      <c r="I23" s="283">
        <f t="shared" si="1"/>
        <v>7813.58</v>
      </c>
      <c r="J23" s="284">
        <f t="shared" si="2"/>
        <v>3.1840936817968131E-2</v>
      </c>
      <c r="K23" s="140">
        <f t="shared" si="3"/>
        <v>0.21179489489489492</v>
      </c>
      <c r="L23" s="170">
        <v>2557.0250000000001</v>
      </c>
      <c r="M23" s="140">
        <f t="shared" si="4"/>
        <v>3.0557307808879459</v>
      </c>
      <c r="N23" s="140">
        <v>121.586</v>
      </c>
      <c r="O23" s="99">
        <f t="shared" si="5"/>
        <v>21.030587403154968</v>
      </c>
      <c r="Q23" s="227"/>
      <c r="U23" s="227"/>
    </row>
    <row r="24" spans="2:24">
      <c r="B24" s="121" t="s">
        <v>579</v>
      </c>
      <c r="C24" s="121" t="s">
        <v>578</v>
      </c>
      <c r="D24" s="599">
        <v>1.32</v>
      </c>
      <c r="E24" s="282">
        <v>654.15599999999995</v>
      </c>
      <c r="F24" s="286">
        <v>282.84100000000001</v>
      </c>
      <c r="G24" s="283">
        <f t="shared" si="0"/>
        <v>936.99699999999996</v>
      </c>
      <c r="H24" s="286">
        <v>46.246000000000002</v>
      </c>
      <c r="I24" s="283">
        <f t="shared" si="1"/>
        <v>890.75099999999998</v>
      </c>
      <c r="J24" s="284">
        <f t="shared" si="2"/>
        <v>4.9355547563119204E-2</v>
      </c>
      <c r="K24" s="140">
        <f t="shared" si="3"/>
        <v>0.43237545784186038</v>
      </c>
      <c r="L24" s="170">
        <v>712.53700000000003</v>
      </c>
      <c r="M24" s="140">
        <f t="shared" si="4"/>
        <v>1.250111924012367</v>
      </c>
      <c r="N24" s="140">
        <v>0</v>
      </c>
      <c r="O24" s="236" t="s">
        <v>105</v>
      </c>
      <c r="Q24" s="227"/>
      <c r="U24" s="12"/>
      <c r="X24" s="227"/>
    </row>
    <row r="25" spans="2:24">
      <c r="B25" s="121" t="s">
        <v>581</v>
      </c>
      <c r="C25" s="121" t="s">
        <v>580</v>
      </c>
      <c r="D25" s="12">
        <v>2</v>
      </c>
      <c r="E25" s="2">
        <v>42.332000000000001</v>
      </c>
      <c r="F25" s="283">
        <v>0.58244000000000007</v>
      </c>
      <c r="G25" s="283">
        <f t="shared" si="0"/>
        <v>42.914439999999999</v>
      </c>
      <c r="H25" s="283">
        <v>23.076000000000001</v>
      </c>
      <c r="I25" s="283">
        <f t="shared" si="1"/>
        <v>19.838439999999999</v>
      </c>
      <c r="J25" s="284">
        <f t="shared" si="2"/>
        <v>0.53772110273371854</v>
      </c>
      <c r="K25" s="140">
        <f t="shared" si="3"/>
        <v>1.3758858546725882E-2</v>
      </c>
      <c r="L25" s="285">
        <v>0</v>
      </c>
      <c r="M25" s="236" t="s">
        <v>105</v>
      </c>
      <c r="N25" s="140">
        <v>0</v>
      </c>
      <c r="O25" s="236" t="s">
        <v>105</v>
      </c>
      <c r="U25" s="12"/>
      <c r="X25" s="227"/>
    </row>
    <row r="26" spans="2:24">
      <c r="B26" s="121" t="s">
        <v>583</v>
      </c>
      <c r="C26" s="121" t="s">
        <v>582</v>
      </c>
      <c r="D26" s="236" t="s">
        <v>105</v>
      </c>
      <c r="E26" s="282">
        <v>3503</v>
      </c>
      <c r="F26" s="283">
        <v>490</v>
      </c>
      <c r="G26" s="283">
        <f t="shared" si="0"/>
        <v>3993</v>
      </c>
      <c r="H26" s="283">
        <v>240</v>
      </c>
      <c r="I26" s="283">
        <f t="shared" si="1"/>
        <v>3753</v>
      </c>
      <c r="J26" s="284">
        <f t="shared" si="2"/>
        <v>6.0105184072126221E-2</v>
      </c>
      <c r="K26" s="140">
        <f t="shared" si="3"/>
        <v>0.1398801027690551</v>
      </c>
      <c r="L26" s="285">
        <v>0</v>
      </c>
      <c r="M26" s="236" t="s">
        <v>105</v>
      </c>
      <c r="N26" s="140">
        <v>0</v>
      </c>
      <c r="O26" s="236" t="s">
        <v>105</v>
      </c>
      <c r="U26" s="12"/>
    </row>
    <row r="27" spans="2:24">
      <c r="B27" s="121" t="s">
        <v>585</v>
      </c>
      <c r="C27" s="121" t="s">
        <v>584</v>
      </c>
      <c r="D27" s="599">
        <v>0.57999999999999996</v>
      </c>
      <c r="E27" s="282">
        <v>613.59500000000003</v>
      </c>
      <c r="F27" s="286">
        <v>30</v>
      </c>
      <c r="G27" s="283">
        <f t="shared" si="0"/>
        <v>643.59500000000003</v>
      </c>
      <c r="H27" s="283">
        <v>311.971</v>
      </c>
      <c r="I27" s="283">
        <f t="shared" si="1"/>
        <v>331.62400000000002</v>
      </c>
      <c r="J27" s="284">
        <f t="shared" si="2"/>
        <v>0.48473185776769551</v>
      </c>
      <c r="K27" s="140">
        <f t="shared" si="3"/>
        <v>4.8892184584294202E-2</v>
      </c>
      <c r="L27" s="170">
        <v>0</v>
      </c>
      <c r="M27" s="236" t="s">
        <v>105</v>
      </c>
      <c r="N27" s="140">
        <v>0</v>
      </c>
      <c r="O27" s="236" t="s">
        <v>105</v>
      </c>
      <c r="T27" s="121"/>
      <c r="U27" s="12"/>
      <c r="X27" s="227"/>
    </row>
    <row r="28" spans="2:24">
      <c r="B28" s="121" t="s">
        <v>587</v>
      </c>
      <c r="C28" s="121" t="s">
        <v>586</v>
      </c>
      <c r="D28" s="599">
        <v>0.96</v>
      </c>
      <c r="E28" s="282">
        <v>3003</v>
      </c>
      <c r="F28" s="283">
        <v>4090.7</v>
      </c>
      <c r="G28" s="283">
        <f t="shared" si="0"/>
        <v>7093.7</v>
      </c>
      <c r="H28" s="286">
        <v>2569.1</v>
      </c>
      <c r="I28" s="283">
        <f t="shared" si="1"/>
        <v>4524.6000000000004</v>
      </c>
      <c r="J28" s="284">
        <f t="shared" si="2"/>
        <v>0.36216642936690302</v>
      </c>
      <c r="K28" s="140">
        <f t="shared" si="3"/>
        <v>1.3622044622044622</v>
      </c>
      <c r="L28" s="285">
        <v>3850.1</v>
      </c>
      <c r="M28" s="140">
        <f t="shared" si="4"/>
        <v>1.1751902547985769</v>
      </c>
      <c r="N28" s="140">
        <v>264.7</v>
      </c>
      <c r="O28" s="99">
        <f t="shared" si="5"/>
        <v>14.545145447676616</v>
      </c>
      <c r="T28" s="121"/>
      <c r="U28" s="227"/>
    </row>
    <row r="29" spans="2:24">
      <c r="B29" s="121" t="s">
        <v>589</v>
      </c>
      <c r="C29" s="121" t="s">
        <v>588</v>
      </c>
      <c r="D29" s="599">
        <v>-0.04</v>
      </c>
      <c r="E29" s="282">
        <v>7786</v>
      </c>
      <c r="F29" s="283">
        <v>1454.7280000000001</v>
      </c>
      <c r="G29" s="283">
        <f t="shared" si="0"/>
        <v>9240.7279999999992</v>
      </c>
      <c r="H29" s="283">
        <v>260.178</v>
      </c>
      <c r="I29" s="283">
        <f t="shared" si="1"/>
        <v>8980.5499999999993</v>
      </c>
      <c r="J29" s="284">
        <f t="shared" si="2"/>
        <v>2.8155573889849374E-2</v>
      </c>
      <c r="K29" s="140">
        <f t="shared" si="3"/>
        <v>0.1868389416902132</v>
      </c>
      <c r="L29" s="285">
        <v>0</v>
      </c>
      <c r="M29" s="236" t="s">
        <v>105</v>
      </c>
      <c r="N29" s="140">
        <v>0</v>
      </c>
      <c r="O29" s="236" t="s">
        <v>105</v>
      </c>
      <c r="T29" s="121"/>
      <c r="U29" s="12"/>
    </row>
    <row r="30" spans="2:24">
      <c r="B30" s="121" t="s">
        <v>591</v>
      </c>
      <c r="C30" s="121" t="s">
        <v>590</v>
      </c>
      <c r="D30" s="599">
        <v>0.35</v>
      </c>
      <c r="E30" s="282">
        <v>1932</v>
      </c>
      <c r="F30" s="283">
        <v>0</v>
      </c>
      <c r="G30" s="283">
        <f t="shared" si="0"/>
        <v>1932</v>
      </c>
      <c r="H30" s="283">
        <v>14.377000000000001</v>
      </c>
      <c r="I30" s="283">
        <f t="shared" si="1"/>
        <v>1917.623</v>
      </c>
      <c r="J30" s="284">
        <f t="shared" si="2"/>
        <v>7.4415113871635612E-3</v>
      </c>
      <c r="K30" s="140">
        <f t="shared" si="3"/>
        <v>0</v>
      </c>
      <c r="L30" s="285">
        <v>0</v>
      </c>
      <c r="M30" s="236" t="s">
        <v>105</v>
      </c>
      <c r="N30" s="140">
        <v>0</v>
      </c>
      <c r="O30" s="236" t="s">
        <v>105</v>
      </c>
      <c r="T30" s="121"/>
      <c r="U30" s="12"/>
    </row>
    <row r="31" spans="2:24">
      <c r="B31" s="121" t="s">
        <v>593</v>
      </c>
      <c r="C31" s="121" t="s">
        <v>592</v>
      </c>
      <c r="D31" s="599">
        <v>0.42</v>
      </c>
      <c r="E31" s="282">
        <v>417.71100000000001</v>
      </c>
      <c r="F31" s="287">
        <v>1.9419999999999999</v>
      </c>
      <c r="G31" s="283">
        <f t="shared" si="0"/>
        <v>419.65300000000002</v>
      </c>
      <c r="H31" s="283">
        <v>212.66</v>
      </c>
      <c r="I31" s="283">
        <f t="shared" si="1"/>
        <v>206.99300000000002</v>
      </c>
      <c r="J31" s="284">
        <f t="shared" si="2"/>
        <v>0.50675200701531975</v>
      </c>
      <c r="K31" s="140">
        <f t="shared" si="3"/>
        <v>4.6491473770142516E-3</v>
      </c>
      <c r="L31" s="171">
        <v>0</v>
      </c>
      <c r="M31" s="236" t="s">
        <v>105</v>
      </c>
      <c r="N31" s="140">
        <v>0</v>
      </c>
      <c r="O31" s="236" t="s">
        <v>105</v>
      </c>
      <c r="T31" s="121"/>
      <c r="U31" s="12"/>
      <c r="X31" s="227"/>
    </row>
    <row r="32" spans="2:24">
      <c r="B32" s="121" t="s">
        <v>595</v>
      </c>
      <c r="C32" s="121" t="s">
        <v>594</v>
      </c>
      <c r="D32" s="599">
        <v>0.83</v>
      </c>
      <c r="E32" s="282">
        <v>62997</v>
      </c>
      <c r="F32" s="288">
        <v>12114</v>
      </c>
      <c r="G32" s="283">
        <f t="shared" si="0"/>
        <v>75111</v>
      </c>
      <c r="H32" s="287">
        <v>1242</v>
      </c>
      <c r="I32" s="283">
        <f t="shared" si="1"/>
        <v>73869</v>
      </c>
      <c r="J32" s="284">
        <f t="shared" si="2"/>
        <v>1.6535527419419261E-2</v>
      </c>
      <c r="K32" s="140">
        <f t="shared" si="3"/>
        <v>0.1922948711843421</v>
      </c>
      <c r="L32" s="289">
        <v>39407</v>
      </c>
      <c r="M32" s="140">
        <f t="shared" si="4"/>
        <v>1.8745146801329713</v>
      </c>
      <c r="N32" s="140">
        <v>0</v>
      </c>
      <c r="O32" s="236" t="s">
        <v>105</v>
      </c>
      <c r="T32" s="121"/>
      <c r="U32" s="12"/>
    </row>
    <row r="33" spans="2:24">
      <c r="B33" s="121" t="s">
        <v>597</v>
      </c>
      <c r="C33" s="121" t="s">
        <v>596</v>
      </c>
      <c r="D33" s="599">
        <v>1.18</v>
      </c>
      <c r="E33" s="282">
        <v>20114</v>
      </c>
      <c r="F33" s="288">
        <v>304.93</v>
      </c>
      <c r="G33" s="283">
        <f t="shared" si="0"/>
        <v>20418.93</v>
      </c>
      <c r="H33" s="288">
        <v>139.50399999999999</v>
      </c>
      <c r="I33" s="283">
        <f t="shared" si="1"/>
        <v>20279.425999999999</v>
      </c>
      <c r="J33" s="284">
        <f t="shared" si="2"/>
        <v>6.8320915934380489E-3</v>
      </c>
      <c r="K33" s="140">
        <f t="shared" si="3"/>
        <v>1.5160087501242916E-2</v>
      </c>
      <c r="L33" s="289">
        <v>2338.8939999999998</v>
      </c>
      <c r="M33" s="140">
        <f t="shared" si="4"/>
        <v>8.6705194848505318</v>
      </c>
      <c r="N33" s="140">
        <v>0</v>
      </c>
      <c r="O33" s="236" t="s">
        <v>105</v>
      </c>
      <c r="T33" s="121"/>
      <c r="U33" s="12"/>
    </row>
    <row r="34" spans="2:24">
      <c r="B34" s="121" t="s">
        <v>597</v>
      </c>
      <c r="C34" s="121" t="s">
        <v>598</v>
      </c>
      <c r="D34" s="599">
        <v>1.18</v>
      </c>
      <c r="E34" s="282">
        <v>20189</v>
      </c>
      <c r="F34" s="287">
        <v>304.93</v>
      </c>
      <c r="G34" s="283">
        <f t="shared" si="0"/>
        <v>20493.93</v>
      </c>
      <c r="H34" s="288">
        <v>139.50399999999999</v>
      </c>
      <c r="I34" s="283">
        <f t="shared" si="1"/>
        <v>20354.425999999999</v>
      </c>
      <c r="J34" s="284">
        <f t="shared" si="2"/>
        <v>6.8070887331029232E-3</v>
      </c>
      <c r="K34" s="140">
        <f t="shared" si="3"/>
        <v>1.5103769379365001E-2</v>
      </c>
      <c r="L34" s="171">
        <v>2338.8939999999998</v>
      </c>
      <c r="M34" s="140">
        <f t="shared" si="4"/>
        <v>8.7025859230901457</v>
      </c>
      <c r="N34" s="140">
        <v>0</v>
      </c>
      <c r="O34" s="236" t="s">
        <v>105</v>
      </c>
      <c r="T34" s="121"/>
      <c r="U34" s="12"/>
    </row>
    <row r="35" spans="2:24">
      <c r="B35" s="121" t="s">
        <v>600</v>
      </c>
      <c r="C35" s="121" t="s">
        <v>599</v>
      </c>
      <c r="D35" s="599">
        <v>0.64</v>
      </c>
      <c r="E35" s="282">
        <v>8318</v>
      </c>
      <c r="F35" s="288">
        <v>3151</v>
      </c>
      <c r="G35" s="283">
        <f t="shared" si="0"/>
        <v>11469</v>
      </c>
      <c r="H35" s="287">
        <v>467</v>
      </c>
      <c r="I35" s="283">
        <f t="shared" si="1"/>
        <v>11002</v>
      </c>
      <c r="J35" s="284">
        <f t="shared" si="2"/>
        <v>4.071845845322173E-2</v>
      </c>
      <c r="K35" s="140">
        <f t="shared" si="3"/>
        <v>0.37881702332291417</v>
      </c>
      <c r="L35" s="289">
        <v>10676</v>
      </c>
      <c r="M35" s="140">
        <f t="shared" si="4"/>
        <v>1.0305357811914575</v>
      </c>
      <c r="N35" s="140">
        <v>0</v>
      </c>
      <c r="O35" s="236" t="s">
        <v>105</v>
      </c>
      <c r="T35" s="121"/>
      <c r="U35" s="12"/>
    </row>
    <row r="36" spans="2:24" ht="12" customHeight="1">
      <c r="B36" s="121" t="s">
        <v>602</v>
      </c>
      <c r="C36" s="121" t="s">
        <v>601</v>
      </c>
      <c r="D36" s="599">
        <v>1.29</v>
      </c>
      <c r="E36" s="282">
        <v>17345</v>
      </c>
      <c r="F36" s="287">
        <v>4277</v>
      </c>
      <c r="G36" s="283">
        <f t="shared" si="0"/>
        <v>21622</v>
      </c>
      <c r="H36" s="288">
        <v>791</v>
      </c>
      <c r="I36" s="283">
        <f t="shared" si="1"/>
        <v>20831</v>
      </c>
      <c r="J36" s="284">
        <f t="shared" si="2"/>
        <v>3.6583109795578578E-2</v>
      </c>
      <c r="K36" s="140">
        <f t="shared" si="3"/>
        <v>0.24658402997982126</v>
      </c>
      <c r="L36" s="171">
        <v>5663</v>
      </c>
      <c r="M36" s="140">
        <f t="shared" si="4"/>
        <v>3.6784389899346635</v>
      </c>
      <c r="N36" s="140">
        <v>0</v>
      </c>
      <c r="O36" s="236" t="s">
        <v>105</v>
      </c>
      <c r="T36" s="121"/>
      <c r="U36" s="12"/>
    </row>
    <row r="37" spans="2:24">
      <c r="B37" s="121" t="s">
        <v>604</v>
      </c>
      <c r="C37" s="121" t="s">
        <v>603</v>
      </c>
      <c r="D37" s="599">
        <v>1.25</v>
      </c>
      <c r="E37" s="282">
        <v>5744</v>
      </c>
      <c r="F37" s="286">
        <v>723.5</v>
      </c>
      <c r="G37" s="283">
        <f t="shared" si="0"/>
        <v>6467.5</v>
      </c>
      <c r="H37" s="287">
        <v>112</v>
      </c>
      <c r="I37" s="283">
        <f t="shared" si="1"/>
        <v>6355.5</v>
      </c>
      <c r="J37" s="284">
        <f t="shared" si="2"/>
        <v>1.7317356010823348E-2</v>
      </c>
      <c r="K37" s="140">
        <f t="shared" si="3"/>
        <v>0.12595752089136492</v>
      </c>
      <c r="L37" s="170">
        <v>1577.7</v>
      </c>
      <c r="M37" s="140">
        <f t="shared" si="4"/>
        <v>4.0283323825822395</v>
      </c>
      <c r="N37" s="140">
        <v>0</v>
      </c>
      <c r="O37" s="236" t="s">
        <v>105</v>
      </c>
      <c r="T37" s="121"/>
      <c r="U37" s="12"/>
    </row>
    <row r="38" spans="2:24">
      <c r="B38" s="121" t="s">
        <v>618</v>
      </c>
      <c r="C38" s="121" t="s">
        <v>605</v>
      </c>
      <c r="D38" s="599">
        <v>0.92</v>
      </c>
      <c r="E38" s="282">
        <v>127.62</v>
      </c>
      <c r="F38" s="287">
        <v>2.8680000000000001E-2</v>
      </c>
      <c r="G38" s="283">
        <f t="shared" si="0"/>
        <v>127.64868</v>
      </c>
      <c r="H38" s="286">
        <v>17.251000000000001</v>
      </c>
      <c r="I38" s="283">
        <f t="shared" si="1"/>
        <v>110.39767999999999</v>
      </c>
      <c r="J38" s="284">
        <f t="shared" si="2"/>
        <v>0.13514436655357503</v>
      </c>
      <c r="K38" s="140">
        <f t="shared" si="3"/>
        <v>2.2472966619652092E-4</v>
      </c>
      <c r="L38" s="171">
        <v>27.561</v>
      </c>
      <c r="M38" s="140">
        <f t="shared" si="4"/>
        <v>4.0055759950654908</v>
      </c>
      <c r="N38" s="140">
        <v>0</v>
      </c>
      <c r="O38" s="236" t="s">
        <v>105</v>
      </c>
      <c r="T38" s="121"/>
      <c r="U38" s="12"/>
      <c r="X38" s="227"/>
    </row>
    <row r="39" spans="2:24" ht="12" customHeight="1">
      <c r="B39" s="121" t="s">
        <v>607</v>
      </c>
      <c r="C39" s="121" t="s">
        <v>606</v>
      </c>
      <c r="D39" s="599">
        <v>1</v>
      </c>
      <c r="E39" s="282">
        <v>635.09699999999998</v>
      </c>
      <c r="F39" s="286">
        <v>570.92899999999997</v>
      </c>
      <c r="G39" s="283">
        <f t="shared" si="0"/>
        <v>1206.0259999999998</v>
      </c>
      <c r="H39" s="287">
        <v>24.154</v>
      </c>
      <c r="I39" s="283">
        <f t="shared" si="1"/>
        <v>1181.8719999999998</v>
      </c>
      <c r="J39" s="284">
        <f t="shared" si="2"/>
        <v>2.0027760595542718E-2</v>
      </c>
      <c r="K39" s="140">
        <f t="shared" si="3"/>
        <v>0.89896346542339201</v>
      </c>
      <c r="L39" s="170">
        <v>687.96100000000001</v>
      </c>
      <c r="M39" s="140">
        <f t="shared" si="4"/>
        <v>1.717934592222524</v>
      </c>
      <c r="N39" s="140">
        <v>0</v>
      </c>
      <c r="O39" s="236" t="s">
        <v>105</v>
      </c>
      <c r="U39" s="12"/>
      <c r="X39" s="227"/>
    </row>
    <row r="40" spans="2:24">
      <c r="B40" s="121" t="s">
        <v>609</v>
      </c>
      <c r="C40" s="121" t="s">
        <v>608</v>
      </c>
      <c r="D40" s="236" t="s">
        <v>105</v>
      </c>
      <c r="E40" s="282">
        <v>138.06100000000001</v>
      </c>
      <c r="F40" s="286">
        <v>28.779</v>
      </c>
      <c r="G40" s="283">
        <f t="shared" si="0"/>
        <v>166.84</v>
      </c>
      <c r="H40" s="286">
        <v>20.952999999999999</v>
      </c>
      <c r="I40" s="283">
        <f t="shared" si="1"/>
        <v>145.887</v>
      </c>
      <c r="J40" s="284">
        <f t="shared" si="2"/>
        <v>0.12558738911532005</v>
      </c>
      <c r="K40" s="140">
        <f t="shared" si="3"/>
        <v>0.20845133672796806</v>
      </c>
      <c r="L40" s="170">
        <v>0</v>
      </c>
      <c r="M40" s="236" t="s">
        <v>105</v>
      </c>
      <c r="N40" s="140">
        <v>0</v>
      </c>
      <c r="O40" s="236" t="s">
        <v>105</v>
      </c>
      <c r="U40" s="12"/>
      <c r="X40" s="227"/>
    </row>
    <row r="41" spans="2:24">
      <c r="B41" s="121" t="s">
        <v>617</v>
      </c>
      <c r="C41" s="121" t="s">
        <v>610</v>
      </c>
      <c r="D41" s="599">
        <v>0.82</v>
      </c>
      <c r="E41" s="282">
        <v>1683</v>
      </c>
      <c r="F41" s="287">
        <v>301.8</v>
      </c>
      <c r="G41" s="283">
        <f t="shared" si="0"/>
        <v>1984.8</v>
      </c>
      <c r="H41" s="286">
        <v>81.3</v>
      </c>
      <c r="I41" s="283">
        <f t="shared" si="1"/>
        <v>1903.5</v>
      </c>
      <c r="J41" s="284">
        <f t="shared" si="2"/>
        <v>4.0961305925030229E-2</v>
      </c>
      <c r="K41" s="140">
        <f t="shared" si="3"/>
        <v>0.17932263814616756</v>
      </c>
      <c r="L41" s="171">
        <v>898.3</v>
      </c>
      <c r="M41" s="140">
        <f t="shared" si="4"/>
        <v>2.1190025603918512</v>
      </c>
      <c r="N41" s="140">
        <v>0</v>
      </c>
      <c r="O41" s="236" t="s">
        <v>105</v>
      </c>
      <c r="U41" s="12"/>
    </row>
    <row r="42" spans="2:24">
      <c r="B42" s="121" t="s">
        <v>612</v>
      </c>
      <c r="C42" s="121" t="s">
        <v>611</v>
      </c>
      <c r="D42" s="599">
        <v>1.63</v>
      </c>
      <c r="E42" s="282">
        <v>10.628</v>
      </c>
      <c r="F42" s="286">
        <v>2.5539999999999998</v>
      </c>
      <c r="G42" s="283">
        <f t="shared" si="0"/>
        <v>13.182</v>
      </c>
      <c r="H42" s="287">
        <v>0.17054499999999997</v>
      </c>
      <c r="I42" s="283">
        <f t="shared" si="1"/>
        <v>13.011455</v>
      </c>
      <c r="J42" s="284">
        <f t="shared" si="2"/>
        <v>1.2937718100439992E-2</v>
      </c>
      <c r="K42" s="140">
        <f t="shared" si="3"/>
        <v>0.24030861874294315</v>
      </c>
      <c r="L42" s="170">
        <v>1.0209999999999999</v>
      </c>
      <c r="M42" s="140">
        <f t="shared" si="4"/>
        <v>12.743834476003919</v>
      </c>
      <c r="N42" s="140">
        <v>2.4039999999999999</v>
      </c>
      <c r="O42" s="99">
        <f t="shared" si="5"/>
        <v>0.42470881863560728</v>
      </c>
      <c r="U42" s="227"/>
      <c r="X42" s="227"/>
    </row>
    <row r="43" spans="2:24">
      <c r="B43" s="121" t="s">
        <v>614</v>
      </c>
      <c r="C43" s="121" t="s">
        <v>613</v>
      </c>
      <c r="D43" s="599">
        <v>0.71</v>
      </c>
      <c r="E43" s="282">
        <v>37441</v>
      </c>
      <c r="F43" s="286">
        <v>7786</v>
      </c>
      <c r="G43" s="283">
        <f t="shared" si="0"/>
        <v>45227</v>
      </c>
      <c r="H43" s="286">
        <v>880</v>
      </c>
      <c r="I43" s="283">
        <f t="shared" si="1"/>
        <v>44347</v>
      </c>
      <c r="J43" s="284">
        <f t="shared" si="2"/>
        <v>1.9457403763238772E-2</v>
      </c>
      <c r="K43" s="140">
        <f t="shared" si="3"/>
        <v>0.20795384738655484</v>
      </c>
      <c r="L43" s="170">
        <v>17062</v>
      </c>
      <c r="M43" s="140">
        <f t="shared" si="4"/>
        <v>2.5991677411792287</v>
      </c>
      <c r="N43" s="140">
        <v>0</v>
      </c>
      <c r="O43" s="236" t="s">
        <v>105</v>
      </c>
      <c r="U43" s="12"/>
    </row>
    <row r="44" spans="2:24">
      <c r="B44" s="121" t="s">
        <v>616</v>
      </c>
      <c r="C44" s="121" t="s">
        <v>615</v>
      </c>
      <c r="D44" s="599">
        <v>1.01</v>
      </c>
      <c r="E44" s="282">
        <v>239.19499999999999</v>
      </c>
      <c r="F44" s="287">
        <v>10.968999999999999</v>
      </c>
      <c r="G44" s="283">
        <f t="shared" si="0"/>
        <v>250.16399999999999</v>
      </c>
      <c r="H44" s="286">
        <v>199.56800000000001</v>
      </c>
      <c r="I44" s="283">
        <f t="shared" si="1"/>
        <v>50.595999999999975</v>
      </c>
      <c r="J44" s="284">
        <f t="shared" si="2"/>
        <v>0.79774867686797468</v>
      </c>
      <c r="K44" s="140">
        <f t="shared" si="3"/>
        <v>4.5857981981228702E-2</v>
      </c>
      <c r="L44" s="171">
        <v>0</v>
      </c>
      <c r="M44" s="236" t="s">
        <v>105</v>
      </c>
      <c r="N44" s="140">
        <v>2.2589999999999999</v>
      </c>
      <c r="O44" s="99">
        <f t="shared" si="5"/>
        <v>0</v>
      </c>
      <c r="U44" s="227"/>
      <c r="X44" s="227"/>
    </row>
    <row r="45" spans="2:24">
      <c r="B45" s="121" t="s">
        <v>620</v>
      </c>
      <c r="C45" s="121" t="s">
        <v>619</v>
      </c>
      <c r="D45" s="236" t="s">
        <v>105</v>
      </c>
      <c r="E45" s="282">
        <v>258.24900000000002</v>
      </c>
      <c r="F45" s="287">
        <v>37.031999999999996</v>
      </c>
      <c r="G45" s="283">
        <f t="shared" si="0"/>
        <v>295.28100000000001</v>
      </c>
      <c r="H45" s="286">
        <v>12.336</v>
      </c>
      <c r="I45" s="283">
        <f t="shared" si="1"/>
        <v>282.94499999999999</v>
      </c>
      <c r="J45" s="284">
        <f t="shared" si="2"/>
        <v>4.1777154642526952E-2</v>
      </c>
      <c r="K45" s="140">
        <f t="shared" si="3"/>
        <v>0.14339648943461542</v>
      </c>
      <c r="L45" s="171">
        <v>0</v>
      </c>
      <c r="M45" s="236" t="s">
        <v>105</v>
      </c>
      <c r="N45" s="140">
        <v>0</v>
      </c>
      <c r="O45" s="236" t="s">
        <v>105</v>
      </c>
      <c r="U45" s="12"/>
      <c r="X45" s="227"/>
    </row>
    <row r="46" spans="2:24">
      <c r="B46" s="121" t="s">
        <v>622</v>
      </c>
      <c r="C46" s="121" t="s">
        <v>621</v>
      </c>
      <c r="D46" s="599">
        <v>0.68</v>
      </c>
      <c r="E46" s="282">
        <v>124343</v>
      </c>
      <c r="F46" s="287">
        <v>15429</v>
      </c>
      <c r="G46" s="283">
        <f t="shared" si="0"/>
        <v>139772</v>
      </c>
      <c r="H46" s="286">
        <v>2547</v>
      </c>
      <c r="I46" s="283">
        <f t="shared" si="1"/>
        <v>137225</v>
      </c>
      <c r="J46" s="284">
        <f t="shared" si="2"/>
        <v>1.8222533840826487E-2</v>
      </c>
      <c r="K46" s="140">
        <f t="shared" si="3"/>
        <v>0.12408418648416075</v>
      </c>
      <c r="L46" s="171">
        <v>65984</v>
      </c>
      <c r="M46" s="140">
        <f t="shared" si="4"/>
        <v>2.0796708292919495</v>
      </c>
      <c r="N46" s="140">
        <v>0</v>
      </c>
      <c r="O46" s="236" t="s">
        <v>105</v>
      </c>
      <c r="U46" s="12"/>
    </row>
    <row r="47" spans="2:24">
      <c r="B47" s="121" t="s">
        <v>624</v>
      </c>
      <c r="C47" s="121" t="s">
        <v>623</v>
      </c>
      <c r="D47" s="236" t="s">
        <v>105</v>
      </c>
      <c r="E47" s="282">
        <v>187.20500000000001</v>
      </c>
      <c r="F47" s="287">
        <v>14.993</v>
      </c>
      <c r="G47" s="283">
        <f t="shared" si="0"/>
        <v>202.19800000000001</v>
      </c>
      <c r="H47" s="286">
        <v>29.289000000000001</v>
      </c>
      <c r="I47" s="283">
        <f t="shared" si="1"/>
        <v>172.90899999999999</v>
      </c>
      <c r="J47" s="284">
        <f t="shared" si="2"/>
        <v>0.14485306481765398</v>
      </c>
      <c r="K47" s="140">
        <f t="shared" si="3"/>
        <v>8.0088672845276571E-2</v>
      </c>
      <c r="L47" s="171">
        <v>78.415999999999997</v>
      </c>
      <c r="M47" s="140">
        <f t="shared" si="4"/>
        <v>2.2050219342991224</v>
      </c>
      <c r="N47" s="140">
        <v>0</v>
      </c>
      <c r="O47" s="236" t="s">
        <v>105</v>
      </c>
      <c r="U47" s="12"/>
      <c r="X47" s="227"/>
    </row>
    <row r="48" spans="2:24">
      <c r="B48" s="121" t="s">
        <v>624</v>
      </c>
      <c r="C48" s="121" t="s">
        <v>625</v>
      </c>
      <c r="D48" s="236" t="s">
        <v>105</v>
      </c>
      <c r="E48" s="236" t="s">
        <v>105</v>
      </c>
      <c r="F48" s="287">
        <v>14.993</v>
      </c>
      <c r="G48" s="236" t="s">
        <v>105</v>
      </c>
      <c r="H48" s="286">
        <v>29.289000000000001</v>
      </c>
      <c r="I48" s="236" t="s">
        <v>105</v>
      </c>
      <c r="J48" s="236" t="s">
        <v>105</v>
      </c>
      <c r="K48" s="236" t="s">
        <v>105</v>
      </c>
      <c r="L48" s="171">
        <v>78.415999999999997</v>
      </c>
      <c r="M48" s="236" t="s">
        <v>105</v>
      </c>
      <c r="N48" s="140">
        <v>0</v>
      </c>
      <c r="O48" s="236" t="s">
        <v>105</v>
      </c>
      <c r="U48" s="12"/>
      <c r="X48" s="227"/>
    </row>
    <row r="49" spans="2:24">
      <c r="B49" s="121" t="s">
        <v>627</v>
      </c>
      <c r="C49" s="121" t="s">
        <v>626</v>
      </c>
      <c r="D49" s="599">
        <v>0.89</v>
      </c>
      <c r="E49" s="282">
        <v>52.146000000000001</v>
      </c>
      <c r="F49" s="287">
        <v>21.315000000000001</v>
      </c>
      <c r="G49" s="283">
        <f t="shared" si="0"/>
        <v>73.460999999999999</v>
      </c>
      <c r="H49" s="286">
        <v>61.094000000000001</v>
      </c>
      <c r="I49" s="283">
        <f t="shared" si="1"/>
        <v>12.366999999999997</v>
      </c>
      <c r="J49" s="284">
        <f t="shared" si="2"/>
        <v>0.83165216917820339</v>
      </c>
      <c r="K49" s="140">
        <f t="shared" si="3"/>
        <v>0.40875618455873897</v>
      </c>
      <c r="L49" s="171">
        <v>0.29899999999999999</v>
      </c>
      <c r="M49" s="140">
        <f t="shared" si="4"/>
        <v>41.361204013377922</v>
      </c>
      <c r="N49" s="140">
        <v>0</v>
      </c>
      <c r="O49" s="236" t="s">
        <v>105</v>
      </c>
      <c r="U49" s="12"/>
      <c r="X49" s="227"/>
    </row>
    <row r="50" spans="2:24">
      <c r="B50" s="121" t="s">
        <v>629</v>
      </c>
      <c r="C50" s="121" t="s">
        <v>628</v>
      </c>
      <c r="D50" s="599">
        <v>1.24</v>
      </c>
      <c r="E50" s="600">
        <v>3150</v>
      </c>
      <c r="F50" s="287">
        <v>837.78800000000001</v>
      </c>
      <c r="G50" s="283">
        <f t="shared" si="0"/>
        <v>3987.788</v>
      </c>
      <c r="H50" s="286">
        <v>103.895</v>
      </c>
      <c r="I50" s="283">
        <f t="shared" si="1"/>
        <v>3883.893</v>
      </c>
      <c r="J50" s="284">
        <f t="shared" si="2"/>
        <v>2.6053290696496402E-2</v>
      </c>
      <c r="K50" s="140">
        <f t="shared" si="3"/>
        <v>0.26596444444444445</v>
      </c>
      <c r="L50" s="171">
        <v>3071.8</v>
      </c>
      <c r="M50" s="140">
        <f t="shared" si="4"/>
        <v>1.2643704017188619</v>
      </c>
      <c r="N50" s="140">
        <v>0</v>
      </c>
      <c r="O50" s="236" t="s">
        <v>105</v>
      </c>
      <c r="U50" s="12"/>
    </row>
    <row r="51" spans="2:24">
      <c r="B51" s="121" t="s">
        <v>631</v>
      </c>
      <c r="C51" s="121" t="s">
        <v>630</v>
      </c>
      <c r="D51" s="599">
        <v>1.01</v>
      </c>
      <c r="E51" s="600">
        <v>2967</v>
      </c>
      <c r="F51" s="287">
        <v>521.38800000000003</v>
      </c>
      <c r="G51" s="283">
        <f t="shared" si="0"/>
        <v>3488.3879999999999</v>
      </c>
      <c r="H51" s="286">
        <v>65.653999999999996</v>
      </c>
      <c r="I51" s="283">
        <f t="shared" si="1"/>
        <v>3422.7339999999999</v>
      </c>
      <c r="J51" s="284">
        <f t="shared" si="2"/>
        <v>1.8820727510815885E-2</v>
      </c>
      <c r="K51" s="140">
        <f t="shared" si="3"/>
        <v>0.17572901921132458</v>
      </c>
      <c r="L51" s="171">
        <v>999.971</v>
      </c>
      <c r="M51" s="140">
        <f t="shared" si="4"/>
        <v>3.4228332621646027</v>
      </c>
      <c r="N51" s="140">
        <v>0</v>
      </c>
      <c r="O51" s="236" t="s">
        <v>105</v>
      </c>
      <c r="S51" s="227"/>
      <c r="U51" s="12"/>
    </row>
    <row r="52" spans="2:24">
      <c r="B52" s="121" t="s">
        <v>633</v>
      </c>
      <c r="C52" s="121" t="s">
        <v>632</v>
      </c>
      <c r="D52" s="599">
        <v>0.51</v>
      </c>
      <c r="E52" s="600">
        <v>71644</v>
      </c>
      <c r="F52" s="287">
        <v>14701</v>
      </c>
      <c r="G52" s="283">
        <f t="shared" si="0"/>
        <v>86345</v>
      </c>
      <c r="H52" s="286">
        <v>2577</v>
      </c>
      <c r="I52" s="283">
        <f t="shared" si="1"/>
        <v>83768</v>
      </c>
      <c r="J52" s="284">
        <f t="shared" si="2"/>
        <v>2.9845387688922347E-2</v>
      </c>
      <c r="K52" s="140">
        <f t="shared" si="3"/>
        <v>0.20519513148344593</v>
      </c>
      <c r="L52" s="171">
        <v>36602</v>
      </c>
      <c r="M52" s="140">
        <f t="shared" si="4"/>
        <v>2.2886181083000929</v>
      </c>
      <c r="N52" s="140">
        <v>0</v>
      </c>
      <c r="O52" s="236" t="s">
        <v>105</v>
      </c>
      <c r="S52" s="227"/>
      <c r="U52" s="12"/>
    </row>
    <row r="53" spans="2:24">
      <c r="B53" s="121" t="s">
        <v>635</v>
      </c>
      <c r="C53" s="121" t="s">
        <v>634</v>
      </c>
      <c r="D53" s="599">
        <v>0.66</v>
      </c>
      <c r="E53" s="282">
        <v>509.178</v>
      </c>
      <c r="F53" s="287">
        <v>10.162000000000001</v>
      </c>
      <c r="G53" s="283">
        <f t="shared" si="0"/>
        <v>519.34</v>
      </c>
      <c r="H53" s="286">
        <v>143.995</v>
      </c>
      <c r="I53" s="283">
        <f t="shared" si="1"/>
        <v>375.34500000000003</v>
      </c>
      <c r="J53" s="284">
        <f t="shared" si="2"/>
        <v>0.27726537528401429</v>
      </c>
      <c r="K53" s="140">
        <f t="shared" si="3"/>
        <v>1.9957657243635823E-2</v>
      </c>
      <c r="L53" s="171">
        <v>307.98200000000003</v>
      </c>
      <c r="M53" s="140">
        <f t="shared" si="4"/>
        <v>1.2187238215220371</v>
      </c>
      <c r="N53" s="140">
        <v>0</v>
      </c>
      <c r="O53" s="236" t="s">
        <v>105</v>
      </c>
      <c r="S53" s="227"/>
      <c r="U53" s="12"/>
      <c r="X53" s="227"/>
    </row>
    <row r="54" spans="2:24">
      <c r="B54" s="121" t="s">
        <v>637</v>
      </c>
      <c r="C54" s="121" t="s">
        <v>636</v>
      </c>
      <c r="D54" s="599">
        <v>0.41</v>
      </c>
      <c r="E54" s="282">
        <v>20.356999999999999</v>
      </c>
      <c r="F54" s="287">
        <v>3.3650000000000002</v>
      </c>
      <c r="G54" s="283">
        <f t="shared" si="0"/>
        <v>23.722000000000001</v>
      </c>
      <c r="H54" s="286">
        <v>0.93400000000000005</v>
      </c>
      <c r="I54" s="283">
        <f t="shared" si="1"/>
        <v>22.788</v>
      </c>
      <c r="J54" s="284">
        <f t="shared" si="2"/>
        <v>3.9372734170811906E-2</v>
      </c>
      <c r="K54" s="140">
        <f t="shared" si="3"/>
        <v>0.16529940560986395</v>
      </c>
      <c r="L54" s="171">
        <v>22.082999999999998</v>
      </c>
      <c r="M54" s="140">
        <f t="shared" si="4"/>
        <v>1.0319250101888331</v>
      </c>
      <c r="N54" s="140">
        <v>0</v>
      </c>
      <c r="O54" s="236" t="s">
        <v>105</v>
      </c>
      <c r="S54" s="227"/>
      <c r="U54" s="12"/>
      <c r="X54" s="227"/>
    </row>
    <row r="55" spans="2:24">
      <c r="B55" s="121" t="s">
        <v>639</v>
      </c>
      <c r="C55" s="121" t="s">
        <v>638</v>
      </c>
      <c r="D55" s="599">
        <v>0.56999999999999995</v>
      </c>
      <c r="E55" s="282">
        <v>269.40100000000001</v>
      </c>
      <c r="F55" s="287">
        <v>0.22700000000000001</v>
      </c>
      <c r="G55" s="283">
        <f t="shared" si="0"/>
        <v>269.62799999999999</v>
      </c>
      <c r="H55" s="286">
        <v>110.361</v>
      </c>
      <c r="I55" s="283">
        <f t="shared" si="1"/>
        <v>159.267</v>
      </c>
      <c r="J55" s="284">
        <f t="shared" si="2"/>
        <v>0.40930838043526641</v>
      </c>
      <c r="K55" s="140">
        <f t="shared" si="3"/>
        <v>8.4261008682224637E-4</v>
      </c>
      <c r="L55" s="171">
        <v>53.027000000000001</v>
      </c>
      <c r="M55" s="140">
        <f t="shared" si="4"/>
        <v>3.0035076470477304</v>
      </c>
      <c r="N55" s="140">
        <v>0</v>
      </c>
      <c r="O55" s="236" t="s">
        <v>105</v>
      </c>
      <c r="S55" s="227"/>
      <c r="U55" s="12"/>
      <c r="X55" s="227"/>
    </row>
    <row r="56" spans="2:24">
      <c r="B56" s="121" t="s">
        <v>641</v>
      </c>
      <c r="C56" s="121" t="s">
        <v>640</v>
      </c>
      <c r="D56" s="236" t="s">
        <v>105</v>
      </c>
      <c r="E56" s="282">
        <v>1104</v>
      </c>
      <c r="F56" s="287">
        <v>0</v>
      </c>
      <c r="G56" s="283">
        <f t="shared" si="0"/>
        <v>1104</v>
      </c>
      <c r="H56" s="286">
        <v>490.762</v>
      </c>
      <c r="I56" s="283">
        <f t="shared" si="1"/>
        <v>613.23800000000006</v>
      </c>
      <c r="J56" s="284">
        <f t="shared" si="2"/>
        <v>0.44453079710144927</v>
      </c>
      <c r="K56" s="140">
        <f t="shared" si="3"/>
        <v>0</v>
      </c>
      <c r="L56" s="171">
        <v>0</v>
      </c>
      <c r="M56" s="236" t="s">
        <v>105</v>
      </c>
      <c r="N56" s="140">
        <v>0</v>
      </c>
      <c r="O56" s="236" t="s">
        <v>105</v>
      </c>
      <c r="S56" s="227"/>
      <c r="U56" s="12"/>
    </row>
    <row r="57" spans="2:24" ht="12" customHeight="1">
      <c r="B57" s="121" t="s">
        <v>643</v>
      </c>
      <c r="C57" s="121" t="s">
        <v>642</v>
      </c>
      <c r="D57" s="599">
        <v>0.48</v>
      </c>
      <c r="E57" s="282">
        <v>232.15299999999999</v>
      </c>
      <c r="F57" s="287">
        <v>5.1379999999999999</v>
      </c>
      <c r="G57" s="283">
        <f t="shared" si="0"/>
        <v>237.291</v>
      </c>
      <c r="H57" s="286">
        <v>23.280999999999999</v>
      </c>
      <c r="I57" s="283">
        <f t="shared" si="1"/>
        <v>214.01</v>
      </c>
      <c r="J57" s="284">
        <f t="shared" si="2"/>
        <v>9.8111601367097775E-2</v>
      </c>
      <c r="K57" s="140">
        <f t="shared" si="3"/>
        <v>2.2131956080688166E-2</v>
      </c>
      <c r="L57" s="171">
        <v>217.858</v>
      </c>
      <c r="M57" s="140">
        <f t="shared" si="4"/>
        <v>0.98233711867363138</v>
      </c>
      <c r="N57" s="140">
        <v>7.0709999999999997</v>
      </c>
      <c r="O57" s="99">
        <f t="shared" si="5"/>
        <v>30.810069297129122</v>
      </c>
      <c r="S57" s="227"/>
      <c r="U57" s="227"/>
      <c r="X57" s="227"/>
    </row>
    <row r="58" spans="2:24">
      <c r="B58" s="121" t="s">
        <v>645</v>
      </c>
      <c r="C58" s="121" t="s">
        <v>644</v>
      </c>
      <c r="D58" s="599">
        <v>1.75</v>
      </c>
      <c r="E58" s="282">
        <v>185.65100000000001</v>
      </c>
      <c r="F58" s="287">
        <v>78.551000000000002</v>
      </c>
      <c r="G58" s="283">
        <f t="shared" si="0"/>
        <v>264.202</v>
      </c>
      <c r="H58" s="286">
        <v>20.523</v>
      </c>
      <c r="I58" s="283">
        <f t="shared" si="1"/>
        <v>243.679</v>
      </c>
      <c r="J58" s="284">
        <f t="shared" si="2"/>
        <v>7.7679200006055965E-2</v>
      </c>
      <c r="K58" s="140">
        <f t="shared" si="3"/>
        <v>0.42311110632315474</v>
      </c>
      <c r="L58" s="171">
        <v>0</v>
      </c>
      <c r="M58" s="236" t="s">
        <v>105</v>
      </c>
      <c r="N58" s="140">
        <v>0</v>
      </c>
      <c r="O58" s="236" t="s">
        <v>105</v>
      </c>
      <c r="S58" s="227"/>
      <c r="U58" s="12"/>
      <c r="X58" s="227"/>
    </row>
    <row r="59" spans="2:24">
      <c r="B59" s="121" t="s">
        <v>647</v>
      </c>
      <c r="C59" s="121" t="s">
        <v>646</v>
      </c>
      <c r="D59" s="599">
        <v>0.47</v>
      </c>
      <c r="E59" s="282">
        <v>1008</v>
      </c>
      <c r="F59" s="287">
        <v>3.0390000000000001</v>
      </c>
      <c r="G59" s="283">
        <f t="shared" si="0"/>
        <v>1011.039</v>
      </c>
      <c r="H59" s="286">
        <v>224.30500000000001</v>
      </c>
      <c r="I59" s="283">
        <f t="shared" si="1"/>
        <v>786.73399999999992</v>
      </c>
      <c r="J59" s="284">
        <f t="shared" si="2"/>
        <v>0.22185593236264872</v>
      </c>
      <c r="K59" s="140">
        <f t="shared" si="3"/>
        <v>3.0148809523809525E-3</v>
      </c>
      <c r="L59" s="171">
        <v>595.84199999999998</v>
      </c>
      <c r="M59" s="140">
        <f t="shared" si="4"/>
        <v>1.3203735218396822</v>
      </c>
      <c r="N59" s="140">
        <v>36.113999999999997</v>
      </c>
      <c r="O59" s="99">
        <f t="shared" si="5"/>
        <v>16.498920086393088</v>
      </c>
      <c r="S59" s="227"/>
      <c r="U59" s="227"/>
    </row>
    <row r="60" spans="2:24">
      <c r="B60" s="121" t="s">
        <v>649</v>
      </c>
      <c r="C60" s="121" t="s">
        <v>648</v>
      </c>
      <c r="D60" s="599">
        <v>0.82</v>
      </c>
      <c r="E60" s="600">
        <v>1849</v>
      </c>
      <c r="F60" s="287">
        <v>152.78299999999999</v>
      </c>
      <c r="G60" s="283">
        <f t="shared" si="0"/>
        <v>2001.7829999999999</v>
      </c>
      <c r="H60" s="286">
        <v>471.791</v>
      </c>
      <c r="I60" s="283">
        <f t="shared" si="1"/>
        <v>1529.992</v>
      </c>
      <c r="J60" s="284">
        <f t="shared" si="2"/>
        <v>0.23568538647795492</v>
      </c>
      <c r="K60" s="140">
        <f t="shared" si="3"/>
        <v>8.2630070308274739E-2</v>
      </c>
      <c r="L60" s="171">
        <v>210.99600000000001</v>
      </c>
      <c r="M60" s="140">
        <f t="shared" si="4"/>
        <v>7.2512843845380948</v>
      </c>
      <c r="N60" s="140">
        <v>0</v>
      </c>
      <c r="O60" s="236" t="s">
        <v>105</v>
      </c>
      <c r="S60" s="227"/>
      <c r="U60" s="12"/>
    </row>
    <row r="61" spans="2:24">
      <c r="B61" s="121" t="s">
        <v>651</v>
      </c>
      <c r="C61" s="121" t="s">
        <v>650</v>
      </c>
      <c r="D61" s="599">
        <v>0.74</v>
      </c>
      <c r="E61" s="600">
        <v>145604</v>
      </c>
      <c r="F61" s="287">
        <v>33500</v>
      </c>
      <c r="G61" s="283">
        <f t="shared" si="0"/>
        <v>179104</v>
      </c>
      <c r="H61" s="286">
        <v>6220</v>
      </c>
      <c r="I61" s="283">
        <f t="shared" si="1"/>
        <v>172884</v>
      </c>
      <c r="J61" s="284">
        <f t="shared" si="2"/>
        <v>3.4728425942469179E-2</v>
      </c>
      <c r="K61" s="140">
        <f t="shared" si="3"/>
        <v>0.23007609681052718</v>
      </c>
      <c r="L61" s="171">
        <v>67074</v>
      </c>
      <c r="M61" s="140">
        <f t="shared" si="4"/>
        <v>2.5775114053135342</v>
      </c>
      <c r="N61" s="140">
        <v>0</v>
      </c>
      <c r="O61" s="236" t="s">
        <v>105</v>
      </c>
      <c r="S61" s="227"/>
      <c r="U61" s="12"/>
    </row>
    <row r="62" spans="2:24">
      <c r="B62" s="121" t="s">
        <v>653</v>
      </c>
      <c r="C62" s="121" t="s">
        <v>652</v>
      </c>
      <c r="D62" s="599">
        <v>0.83</v>
      </c>
      <c r="E62" s="282">
        <v>199.5</v>
      </c>
      <c r="F62" s="287">
        <v>130.59899999999999</v>
      </c>
      <c r="G62" s="283">
        <f t="shared" si="0"/>
        <v>330.09899999999999</v>
      </c>
      <c r="H62" s="286">
        <v>8.5329999999999995</v>
      </c>
      <c r="I62" s="283">
        <f t="shared" si="1"/>
        <v>321.56599999999997</v>
      </c>
      <c r="J62" s="284">
        <f t="shared" si="2"/>
        <v>2.5849820811332358E-2</v>
      </c>
      <c r="K62" s="140">
        <f t="shared" si="3"/>
        <v>0.65463157894736834</v>
      </c>
      <c r="L62" s="171">
        <v>4.9290000000000003</v>
      </c>
      <c r="M62" s="140">
        <f t="shared" si="4"/>
        <v>65.239602353418533</v>
      </c>
      <c r="N62" s="140">
        <v>0</v>
      </c>
      <c r="O62" s="236" t="s">
        <v>105</v>
      </c>
      <c r="S62" s="227"/>
      <c r="U62" s="12"/>
      <c r="X62" s="227"/>
    </row>
    <row r="63" spans="2:24" ht="12" customHeight="1">
      <c r="B63" s="121" t="s">
        <v>655</v>
      </c>
      <c r="C63" s="121" t="s">
        <v>654</v>
      </c>
      <c r="D63" s="236" t="s">
        <v>105</v>
      </c>
      <c r="E63" s="282">
        <v>18.664999999999999</v>
      </c>
      <c r="F63" s="287">
        <v>2.3639999999999999</v>
      </c>
      <c r="G63" s="283">
        <f t="shared" si="0"/>
        <v>21.029</v>
      </c>
      <c r="H63" s="286">
        <v>2.2949999999999999</v>
      </c>
      <c r="I63" s="283">
        <f t="shared" si="1"/>
        <v>18.734000000000002</v>
      </c>
      <c r="J63" s="284">
        <f t="shared" si="2"/>
        <v>0.10913500404203719</v>
      </c>
      <c r="K63" s="140">
        <f t="shared" si="3"/>
        <v>0.12665416555049558</v>
      </c>
      <c r="L63" s="171">
        <v>5.4870000000000001</v>
      </c>
      <c r="M63" s="140">
        <f t="shared" si="4"/>
        <v>3.4142518680517591</v>
      </c>
      <c r="N63" s="140">
        <v>0.39491899999999996</v>
      </c>
      <c r="O63" s="99">
        <f t="shared" si="5"/>
        <v>13.89398838749212</v>
      </c>
      <c r="S63" s="227"/>
      <c r="U63" s="12"/>
      <c r="X63" s="227"/>
    </row>
    <row r="64" spans="2:24">
      <c r="B64" s="601" t="s">
        <v>657</v>
      </c>
      <c r="C64" s="121" t="s">
        <v>656</v>
      </c>
      <c r="D64" s="599">
        <v>1.45</v>
      </c>
      <c r="E64" s="282">
        <v>19.216000000000001</v>
      </c>
      <c r="F64" s="287">
        <v>34.628</v>
      </c>
      <c r="G64" s="283">
        <f t="shared" si="0"/>
        <v>53.844000000000001</v>
      </c>
      <c r="H64" s="286">
        <v>1.1739999999999999</v>
      </c>
      <c r="I64" s="283">
        <f t="shared" si="1"/>
        <v>52.67</v>
      </c>
      <c r="J64" s="284">
        <f t="shared" si="2"/>
        <v>2.1803729292028822E-2</v>
      </c>
      <c r="K64" s="140">
        <f t="shared" si="3"/>
        <v>1.8020399666944211</v>
      </c>
      <c r="L64" s="171">
        <v>83.902000000000001</v>
      </c>
      <c r="M64" s="140">
        <f t="shared" si="4"/>
        <v>0.62775619174751496</v>
      </c>
      <c r="N64" s="140">
        <v>0</v>
      </c>
      <c r="O64" s="236" t="s">
        <v>105</v>
      </c>
      <c r="U64" s="12"/>
    </row>
    <row r="65" spans="2:24">
      <c r="B65" s="601" t="s">
        <v>659</v>
      </c>
      <c r="C65" s="121" t="s">
        <v>658</v>
      </c>
      <c r="D65" s="599">
        <v>1.72</v>
      </c>
      <c r="E65" s="282">
        <v>412.233</v>
      </c>
      <c r="F65" s="287">
        <v>215.74100000000001</v>
      </c>
      <c r="G65" s="283">
        <f t="shared" si="0"/>
        <v>627.97400000000005</v>
      </c>
      <c r="H65" s="286">
        <v>2.1739999999999999</v>
      </c>
      <c r="I65" s="283">
        <f t="shared" si="1"/>
        <v>625.80000000000007</v>
      </c>
      <c r="J65" s="284">
        <f t="shared" si="2"/>
        <v>3.4619267676687247E-3</v>
      </c>
      <c r="K65" s="140">
        <f t="shared" si="3"/>
        <v>0.52334723323945442</v>
      </c>
      <c r="L65" s="171">
        <v>1.845</v>
      </c>
      <c r="M65" s="140">
        <f t="shared" si="4"/>
        <v>339.18699186991876</v>
      </c>
      <c r="N65" s="140">
        <v>0</v>
      </c>
      <c r="O65" s="236" t="s">
        <v>105</v>
      </c>
      <c r="U65" s="12"/>
      <c r="X65" s="227"/>
    </row>
    <row r="66" spans="2:24">
      <c r="B66" s="601" t="s">
        <v>661</v>
      </c>
      <c r="C66" s="121" t="s">
        <v>660</v>
      </c>
      <c r="D66" s="599">
        <v>1.43</v>
      </c>
      <c r="E66" s="282">
        <v>1002.9999999999999</v>
      </c>
      <c r="F66" s="287">
        <v>415.72</v>
      </c>
      <c r="G66" s="283">
        <f t="shared" si="0"/>
        <v>1418.7199999999998</v>
      </c>
      <c r="H66" s="286">
        <v>909.00699999999995</v>
      </c>
      <c r="I66" s="283">
        <f t="shared" si="1"/>
        <v>509.71299999999985</v>
      </c>
      <c r="J66" s="284">
        <f t="shared" si="2"/>
        <v>0.64072332807037335</v>
      </c>
      <c r="K66" s="140">
        <f t="shared" si="3"/>
        <v>0.41447657028913265</v>
      </c>
      <c r="L66" s="171">
        <v>2.3119999999999998</v>
      </c>
      <c r="M66" s="140">
        <f t="shared" si="4"/>
        <v>220.4641003460207</v>
      </c>
      <c r="N66" s="140">
        <v>0</v>
      </c>
      <c r="O66" s="236" t="s">
        <v>105</v>
      </c>
      <c r="U66" s="12"/>
    </row>
    <row r="67" spans="2:24">
      <c r="B67" s="601" t="s">
        <v>663</v>
      </c>
      <c r="C67" s="121" t="s">
        <v>662</v>
      </c>
      <c r="D67" s="599">
        <v>1.65</v>
      </c>
      <c r="E67" s="282">
        <v>3707</v>
      </c>
      <c r="F67" s="287">
        <v>3962.3</v>
      </c>
      <c r="G67" s="283">
        <f t="shared" si="0"/>
        <v>7669.3</v>
      </c>
      <c r="H67" s="286">
        <v>658.6</v>
      </c>
      <c r="I67" s="283">
        <f t="shared" si="1"/>
        <v>7010.7</v>
      </c>
      <c r="J67" s="284">
        <f t="shared" si="2"/>
        <v>8.5874851681379011E-2</v>
      </c>
      <c r="K67" s="140">
        <f t="shared" si="3"/>
        <v>1.0688697059616941</v>
      </c>
      <c r="L67" s="171">
        <v>5029.6000000000004</v>
      </c>
      <c r="M67" s="140">
        <f t="shared" si="4"/>
        <v>1.3938881819627802</v>
      </c>
      <c r="N67" s="140">
        <v>0</v>
      </c>
      <c r="O67" s="236" t="s">
        <v>105</v>
      </c>
      <c r="U67" s="12"/>
    </row>
    <row r="68" spans="2:24">
      <c r="B68" s="601" t="s">
        <v>665</v>
      </c>
      <c r="C68" s="121" t="s">
        <v>664</v>
      </c>
      <c r="D68" s="599">
        <v>1.07</v>
      </c>
      <c r="E68" s="282">
        <v>560.39300000000003</v>
      </c>
      <c r="F68" s="287">
        <v>40.280999999999999</v>
      </c>
      <c r="G68" s="283">
        <f t="shared" si="0"/>
        <v>600.67399999999998</v>
      </c>
      <c r="H68" s="286">
        <v>120.72799999999999</v>
      </c>
      <c r="I68" s="283">
        <f t="shared" si="1"/>
        <v>479.94599999999997</v>
      </c>
      <c r="J68" s="284">
        <f t="shared" si="2"/>
        <v>0.20098755731062107</v>
      </c>
      <c r="K68" s="140">
        <f t="shared" si="3"/>
        <v>7.18799128468771E-2</v>
      </c>
      <c r="L68" s="171">
        <v>515.76499999999999</v>
      </c>
      <c r="M68" s="140">
        <f t="shared" si="4"/>
        <v>0.93055170474925597</v>
      </c>
      <c r="N68" s="140">
        <v>37.034999999999997</v>
      </c>
      <c r="O68" s="99">
        <f t="shared" si="5"/>
        <v>13.926420953152425</v>
      </c>
      <c r="U68" s="227"/>
      <c r="X68" s="227"/>
    </row>
    <row r="69" spans="2:24">
      <c r="B69" s="121" t="s">
        <v>667</v>
      </c>
      <c r="C69" s="121" t="s">
        <v>666</v>
      </c>
      <c r="D69" s="236" t="s">
        <v>105</v>
      </c>
      <c r="E69" s="282">
        <v>55.341000000000001</v>
      </c>
      <c r="F69" s="287">
        <v>15.836</v>
      </c>
      <c r="G69" s="283">
        <f t="shared" si="0"/>
        <v>71.177000000000007</v>
      </c>
      <c r="H69" s="286">
        <v>12.872</v>
      </c>
      <c r="I69" s="283">
        <f t="shared" si="1"/>
        <v>58.305000000000007</v>
      </c>
      <c r="J69" s="284">
        <f t="shared" si="2"/>
        <v>0.18084493586411338</v>
      </c>
      <c r="K69" s="140">
        <f t="shared" si="3"/>
        <v>0.28615312336242571</v>
      </c>
      <c r="L69" s="171">
        <v>0</v>
      </c>
      <c r="M69" s="236" t="s">
        <v>105</v>
      </c>
      <c r="N69" s="140">
        <v>0</v>
      </c>
      <c r="O69" s="236" t="s">
        <v>105</v>
      </c>
      <c r="U69" s="12"/>
      <c r="X69" s="227"/>
    </row>
    <row r="70" spans="2:24">
      <c r="B70" s="121" t="s">
        <v>669</v>
      </c>
      <c r="C70" s="121" t="s">
        <v>668</v>
      </c>
      <c r="D70" s="599">
        <v>1.37</v>
      </c>
      <c r="E70" s="282">
        <v>40165</v>
      </c>
      <c r="F70" s="287">
        <v>19813</v>
      </c>
      <c r="G70" s="283">
        <f t="shared" si="0"/>
        <v>59978</v>
      </c>
      <c r="H70" s="286">
        <v>3001</v>
      </c>
      <c r="I70" s="283">
        <f t="shared" si="1"/>
        <v>56977</v>
      </c>
      <c r="J70" s="284">
        <f t="shared" si="2"/>
        <v>5.0035012838040613E-2</v>
      </c>
      <c r="K70" s="140">
        <f t="shared" si="3"/>
        <v>0.49329017801568531</v>
      </c>
      <c r="L70" s="171">
        <v>5632</v>
      </c>
      <c r="M70" s="140">
        <f t="shared" si="4"/>
        <v>10.116654829545455</v>
      </c>
      <c r="N70" s="140">
        <v>0</v>
      </c>
      <c r="O70" s="236" t="s">
        <v>105</v>
      </c>
      <c r="U70" s="12"/>
    </row>
    <row r="71" spans="2:24">
      <c r="B71" s="601" t="s">
        <v>671</v>
      </c>
      <c r="C71" s="121" t="s">
        <v>670</v>
      </c>
      <c r="D71" s="599">
        <v>2.64</v>
      </c>
      <c r="E71" s="598">
        <v>737.87</v>
      </c>
      <c r="F71" s="286">
        <v>1608.7280000000001</v>
      </c>
      <c r="G71" s="283">
        <f t="shared" ref="G71:G78" si="6">E71+F71</f>
        <v>2346.598</v>
      </c>
      <c r="H71" s="286">
        <v>240.87799999999999</v>
      </c>
      <c r="I71" s="283">
        <f t="shared" ref="I71:I78" si="7">G71-H71</f>
        <v>2105.7199999999998</v>
      </c>
      <c r="J71" s="284">
        <f t="shared" ref="J71:J78" si="8">H71/G71</f>
        <v>0.10264987867542714</v>
      </c>
      <c r="K71" s="140">
        <f t="shared" ref="K71:K78" si="9">F71/E71</f>
        <v>2.1802322902408284</v>
      </c>
      <c r="L71" s="598">
        <v>1372.49</v>
      </c>
      <c r="M71" s="140">
        <f t="shared" ref="M71:M78" si="10">I71/L71</f>
        <v>1.5342334006076546</v>
      </c>
      <c r="N71" s="140">
        <v>0</v>
      </c>
      <c r="O71" s="236" t="s">
        <v>105</v>
      </c>
      <c r="U71" s="12"/>
    </row>
    <row r="72" spans="2:24">
      <c r="B72" s="601" t="s">
        <v>673</v>
      </c>
      <c r="C72" s="121" t="s">
        <v>672</v>
      </c>
      <c r="D72" s="599">
        <v>1.49</v>
      </c>
      <c r="E72" s="282">
        <v>14069</v>
      </c>
      <c r="F72" s="286">
        <v>3557</v>
      </c>
      <c r="G72" s="283">
        <f t="shared" si="6"/>
        <v>17626</v>
      </c>
      <c r="H72" s="286">
        <v>2035</v>
      </c>
      <c r="I72" s="283">
        <f t="shared" si="7"/>
        <v>15591</v>
      </c>
      <c r="J72" s="284">
        <f t="shared" si="8"/>
        <v>0.11545444230114603</v>
      </c>
      <c r="K72" s="140">
        <f t="shared" si="9"/>
        <v>0.25282536072215511</v>
      </c>
      <c r="L72" s="598">
        <v>12869</v>
      </c>
      <c r="M72" s="140">
        <f t="shared" si="10"/>
        <v>1.2115160463128449</v>
      </c>
      <c r="N72" s="140">
        <v>0</v>
      </c>
      <c r="O72" s="236" t="s">
        <v>105</v>
      </c>
      <c r="U72" s="12"/>
    </row>
    <row r="73" spans="2:24">
      <c r="B73" s="601" t="s">
        <v>675</v>
      </c>
      <c r="C73" s="121" t="s">
        <v>674</v>
      </c>
      <c r="D73" s="236" t="s">
        <v>105</v>
      </c>
      <c r="E73" s="282">
        <v>51.793999999999997</v>
      </c>
      <c r="F73" s="287">
        <v>15.72</v>
      </c>
      <c r="G73" s="283">
        <f t="shared" si="6"/>
        <v>67.513999999999996</v>
      </c>
      <c r="H73" s="286">
        <v>194.154</v>
      </c>
      <c r="I73" s="283">
        <f t="shared" si="7"/>
        <v>-126.64</v>
      </c>
      <c r="J73" s="284">
        <f t="shared" si="8"/>
        <v>2.8757591018159196</v>
      </c>
      <c r="K73" s="140">
        <f t="shared" si="9"/>
        <v>0.30351005908020234</v>
      </c>
      <c r="L73" s="171">
        <v>33.177999999999997</v>
      </c>
      <c r="M73" s="140">
        <f t="shared" si="10"/>
        <v>-3.8169871601663758</v>
      </c>
      <c r="N73" s="140">
        <v>0</v>
      </c>
      <c r="O73" s="236" t="s">
        <v>105</v>
      </c>
      <c r="U73" s="12"/>
      <c r="X73" s="227"/>
    </row>
    <row r="74" spans="2:24">
      <c r="B74" s="601" t="s">
        <v>675</v>
      </c>
      <c r="C74" s="121" t="s">
        <v>676</v>
      </c>
      <c r="D74" s="236" t="s">
        <v>105</v>
      </c>
      <c r="E74" s="236" t="s">
        <v>105</v>
      </c>
      <c r="F74" s="287">
        <v>15.72</v>
      </c>
      <c r="G74" s="236" t="s">
        <v>105</v>
      </c>
      <c r="H74" s="286">
        <v>194.154</v>
      </c>
      <c r="I74" s="236" t="s">
        <v>105</v>
      </c>
      <c r="J74" s="236" t="s">
        <v>105</v>
      </c>
      <c r="K74" s="236" t="s">
        <v>105</v>
      </c>
      <c r="L74" s="171">
        <v>33.177999999999997</v>
      </c>
      <c r="M74" s="236" t="s">
        <v>105</v>
      </c>
      <c r="N74" s="140">
        <v>0</v>
      </c>
      <c r="O74" s="236" t="s">
        <v>105</v>
      </c>
      <c r="U74" s="12"/>
      <c r="X74" s="227"/>
    </row>
    <row r="75" spans="2:24">
      <c r="B75" s="601" t="s">
        <v>678</v>
      </c>
      <c r="C75" s="121" t="s">
        <v>677</v>
      </c>
      <c r="D75" s="599">
        <v>1.49</v>
      </c>
      <c r="E75" s="282">
        <v>557.01599999999996</v>
      </c>
      <c r="F75" s="287">
        <v>325.89400000000001</v>
      </c>
      <c r="G75" s="283">
        <f t="shared" si="6"/>
        <v>882.91</v>
      </c>
      <c r="H75" s="286">
        <v>0.47799999999999998</v>
      </c>
      <c r="I75" s="283">
        <f t="shared" si="7"/>
        <v>882.43200000000002</v>
      </c>
      <c r="J75" s="284">
        <f t="shared" si="8"/>
        <v>5.4139153481102262E-4</v>
      </c>
      <c r="K75" s="140">
        <f t="shared" si="9"/>
        <v>0.58507116492165401</v>
      </c>
      <c r="L75" s="171">
        <v>949.76199999999994</v>
      </c>
      <c r="M75" s="140">
        <f t="shared" si="10"/>
        <v>0.92910855561709149</v>
      </c>
      <c r="N75" s="140">
        <v>0</v>
      </c>
      <c r="O75" s="236" t="s">
        <v>105</v>
      </c>
      <c r="U75" s="12"/>
      <c r="X75" s="227"/>
    </row>
    <row r="76" spans="2:24">
      <c r="B76" s="601" t="s">
        <v>680</v>
      </c>
      <c r="C76" s="121" t="s">
        <v>679</v>
      </c>
      <c r="D76" s="599">
        <v>0.7</v>
      </c>
      <c r="E76" s="282">
        <v>57.216000000000001</v>
      </c>
      <c r="F76" s="287">
        <v>9.3699999999999992</v>
      </c>
      <c r="G76" s="283">
        <f t="shared" si="6"/>
        <v>66.585999999999999</v>
      </c>
      <c r="H76" s="286">
        <v>19.709</v>
      </c>
      <c r="I76" s="283">
        <f t="shared" si="7"/>
        <v>46.876999999999995</v>
      </c>
      <c r="J76" s="284">
        <f t="shared" si="8"/>
        <v>0.29599315171357343</v>
      </c>
      <c r="K76" s="140">
        <f t="shared" si="9"/>
        <v>0.16376538031319909</v>
      </c>
      <c r="L76" s="171">
        <v>28.297999999999998</v>
      </c>
      <c r="M76" s="140">
        <f t="shared" si="10"/>
        <v>1.6565481659481234</v>
      </c>
      <c r="N76" s="140">
        <v>0</v>
      </c>
      <c r="O76" s="236" t="s">
        <v>105</v>
      </c>
      <c r="U76" s="12"/>
      <c r="X76" s="227"/>
    </row>
    <row r="77" spans="2:24">
      <c r="B77" s="601" t="s">
        <v>682</v>
      </c>
      <c r="C77" s="121" t="s">
        <v>681</v>
      </c>
      <c r="D77" s="236" t="s">
        <v>105</v>
      </c>
      <c r="E77" s="282">
        <v>1218</v>
      </c>
      <c r="F77" s="287">
        <v>1333.308</v>
      </c>
      <c r="G77" s="283">
        <f t="shared" si="6"/>
        <v>2551.308</v>
      </c>
      <c r="H77" s="286">
        <v>116.06699999999999</v>
      </c>
      <c r="I77" s="283">
        <f t="shared" si="7"/>
        <v>2435.241</v>
      </c>
      <c r="J77" s="284">
        <f t="shared" si="8"/>
        <v>4.5493135285900405E-2</v>
      </c>
      <c r="K77" s="140">
        <f t="shared" si="9"/>
        <v>1.0946699507389162</v>
      </c>
      <c r="L77" s="171">
        <v>2332.1010000000001</v>
      </c>
      <c r="M77" s="140">
        <f t="shared" si="10"/>
        <v>1.0442262149023562</v>
      </c>
      <c r="N77" s="140">
        <v>0</v>
      </c>
      <c r="O77" s="236" t="s">
        <v>105</v>
      </c>
      <c r="U77" s="12"/>
    </row>
    <row r="78" spans="2:24">
      <c r="B78" s="601" t="s">
        <v>684</v>
      </c>
      <c r="C78" s="121" t="s">
        <v>683</v>
      </c>
      <c r="D78" s="599">
        <v>1.46</v>
      </c>
      <c r="E78" s="282">
        <v>5816</v>
      </c>
      <c r="F78" s="287">
        <v>798.85900000000004</v>
      </c>
      <c r="G78" s="283">
        <f t="shared" si="6"/>
        <v>6614.8590000000004</v>
      </c>
      <c r="H78" s="286">
        <v>107.84399999999999</v>
      </c>
      <c r="I78" s="283">
        <f t="shared" si="7"/>
        <v>6507.0150000000003</v>
      </c>
      <c r="J78" s="284">
        <f t="shared" si="8"/>
        <v>1.6303295353687811E-2</v>
      </c>
      <c r="K78" s="140">
        <f t="shared" si="9"/>
        <v>0.13735539889958734</v>
      </c>
      <c r="L78" s="171">
        <v>2459.8229999999999</v>
      </c>
      <c r="M78" s="140">
        <f t="shared" si="10"/>
        <v>2.6453183826641187</v>
      </c>
      <c r="N78" s="140">
        <v>0</v>
      </c>
      <c r="O78" s="236" t="s">
        <v>105</v>
      </c>
      <c r="U78" s="12"/>
    </row>
    <row r="79" spans="2:24">
      <c r="B79" s="121"/>
      <c r="C79" s="121"/>
      <c r="D79" s="292">
        <f>MEDIAN(D6:D78)</f>
        <v>1.01</v>
      </c>
      <c r="F79" s="231"/>
      <c r="G79" s="294"/>
      <c r="H79" s="295"/>
      <c r="I79" s="296"/>
      <c r="J79" s="259">
        <f>_xlfn.PERCENTILE.EXC(J6:J78,0.5)</f>
        <v>5.747312211548837E-2</v>
      </c>
      <c r="K79" s="297">
        <f>_xlfn.PERCENTILE.EXC(K6:K78,0.5)</f>
        <v>0.17932263814616756</v>
      </c>
      <c r="L79" s="38"/>
      <c r="M79" s="292">
        <f>_xlfn.PERCENTILE.EXC(M6:M78,0.5)</f>
        <v>2.1190025603918512</v>
      </c>
      <c r="N79" s="298"/>
      <c r="O79" s="292">
        <f>_xlfn.PERCENTILE.EXC(O6:O78,0.5)</f>
        <v>14.23578320041452</v>
      </c>
      <c r="U79" s="227"/>
      <c r="V79" s="227"/>
    </row>
    <row r="80" spans="2:24">
      <c r="B80" s="121"/>
      <c r="C80" s="121"/>
      <c r="D80" s="99"/>
      <c r="E80" s="282"/>
      <c r="F80" s="287"/>
      <c r="G80" s="283"/>
      <c r="H80" s="286"/>
      <c r="I80" s="283"/>
      <c r="J80" s="284"/>
      <c r="K80" s="140"/>
      <c r="L80" s="171"/>
      <c r="M80" s="140"/>
      <c r="N80" s="140"/>
      <c r="O80" s="99"/>
      <c r="S80" s="227"/>
      <c r="U80" s="227"/>
      <c r="V80" s="227"/>
    </row>
    <row r="81" spans="2:22">
      <c r="B81" s="121"/>
      <c r="C81" s="121"/>
      <c r="D81" s="99"/>
      <c r="E81" s="282"/>
      <c r="F81" s="287"/>
      <c r="G81" s="283"/>
      <c r="H81" s="286"/>
      <c r="I81" s="283"/>
      <c r="J81" s="284"/>
      <c r="K81" s="140"/>
      <c r="L81" s="171"/>
      <c r="M81" s="140"/>
      <c r="N81" s="140"/>
      <c r="O81" s="99"/>
      <c r="S81" s="227"/>
      <c r="U81" s="227"/>
      <c r="V81" s="227"/>
    </row>
    <row r="82" spans="2:22">
      <c r="B82" s="121"/>
      <c r="C82" s="121"/>
      <c r="D82" s="99"/>
      <c r="E82" s="282"/>
      <c r="F82" s="287"/>
      <c r="G82" s="283"/>
      <c r="H82" s="286"/>
      <c r="I82" s="283"/>
      <c r="J82" s="284"/>
      <c r="K82" s="140"/>
      <c r="L82" s="171"/>
      <c r="M82" s="140"/>
      <c r="N82" s="140"/>
      <c r="O82" s="99"/>
      <c r="S82" s="227"/>
      <c r="U82" s="227"/>
      <c r="V82" s="12"/>
    </row>
    <row r="83" spans="2:22">
      <c r="B83" s="121"/>
      <c r="C83" s="121"/>
      <c r="D83" s="99"/>
      <c r="E83" s="282"/>
      <c r="F83" s="287"/>
      <c r="G83" s="283"/>
      <c r="H83" s="286"/>
      <c r="I83" s="283"/>
      <c r="J83" s="284"/>
      <c r="K83" s="140"/>
      <c r="L83" s="171"/>
      <c r="M83" s="140"/>
      <c r="N83" s="140"/>
      <c r="O83" s="99"/>
      <c r="S83" s="227"/>
      <c r="U83" s="227"/>
      <c r="V83" s="227"/>
    </row>
    <row r="84" spans="2:22">
      <c r="B84" s="121"/>
      <c r="C84" s="121"/>
      <c r="D84" s="99"/>
      <c r="E84" s="282"/>
      <c r="F84" s="287"/>
      <c r="G84" s="283"/>
      <c r="H84" s="286"/>
      <c r="I84" s="283"/>
      <c r="J84" s="284"/>
      <c r="K84" s="140"/>
      <c r="L84" s="171"/>
      <c r="M84" s="140"/>
      <c r="N84" s="140"/>
      <c r="O84" s="99"/>
    </row>
    <row r="85" spans="2:22">
      <c r="B85" s="121"/>
      <c r="C85" s="121"/>
      <c r="D85" s="99"/>
      <c r="E85" s="282"/>
      <c r="F85" s="286"/>
      <c r="G85" s="598"/>
      <c r="H85" s="286"/>
      <c r="I85" s="286"/>
      <c r="J85" s="598"/>
      <c r="K85" s="598"/>
      <c r="L85" s="598"/>
      <c r="M85" s="99"/>
      <c r="N85" s="598"/>
      <c r="O85" s="99"/>
      <c r="S85" s="227"/>
      <c r="U85" s="227"/>
      <c r="V85" s="12"/>
    </row>
    <row r="86" spans="2:22">
      <c r="B86" s="121"/>
      <c r="C86" s="121"/>
      <c r="D86" s="99"/>
      <c r="E86" s="282"/>
      <c r="F86" s="287"/>
      <c r="G86" s="283"/>
      <c r="H86" s="286"/>
      <c r="I86" s="283"/>
      <c r="J86" s="284"/>
      <c r="K86" s="140"/>
      <c r="L86" s="171"/>
      <c r="M86" s="140"/>
      <c r="N86" s="140"/>
      <c r="O86" s="99"/>
      <c r="S86" s="227"/>
      <c r="U86" s="227"/>
      <c r="V86" s="12"/>
    </row>
    <row r="87" spans="2:22">
      <c r="B87" s="121"/>
      <c r="C87" s="121"/>
      <c r="D87" s="99"/>
      <c r="E87" s="282"/>
      <c r="F87" s="287"/>
      <c r="G87" s="283"/>
      <c r="H87" s="286"/>
      <c r="I87" s="283"/>
      <c r="J87" s="284"/>
      <c r="K87" s="140"/>
      <c r="L87" s="171"/>
      <c r="M87" s="140"/>
      <c r="N87" s="140"/>
      <c r="O87" s="99"/>
      <c r="S87" s="227"/>
      <c r="U87" s="227"/>
      <c r="V87" s="12"/>
    </row>
    <row r="88" spans="2:22">
      <c r="B88" s="121"/>
      <c r="C88" s="121"/>
      <c r="D88" s="99"/>
      <c r="E88" s="282"/>
      <c r="F88" s="287"/>
      <c r="G88" s="283"/>
      <c r="H88" s="286"/>
      <c r="I88" s="283"/>
      <c r="J88" s="284"/>
      <c r="K88" s="140"/>
      <c r="L88" s="171"/>
      <c r="M88" s="140"/>
      <c r="N88" s="140"/>
      <c r="O88" s="99"/>
      <c r="S88" s="227"/>
      <c r="V88" s="12"/>
    </row>
    <row r="89" spans="2:22">
      <c r="B89" s="121"/>
      <c r="C89" s="121"/>
      <c r="D89" s="99"/>
      <c r="E89" s="282"/>
      <c r="F89" s="287"/>
      <c r="G89" s="283"/>
      <c r="H89" s="286"/>
      <c r="I89" s="283"/>
      <c r="J89" s="284"/>
      <c r="K89" s="140"/>
      <c r="L89" s="171"/>
      <c r="M89" s="99"/>
      <c r="N89" s="140"/>
      <c r="O89" s="99"/>
      <c r="S89" s="227"/>
      <c r="U89" s="227"/>
      <c r="V89" s="12"/>
    </row>
    <row r="90" spans="2:22">
      <c r="B90" s="121"/>
      <c r="C90" s="121"/>
      <c r="D90" s="99"/>
      <c r="E90" s="282"/>
      <c r="F90" s="287"/>
      <c r="G90" s="283"/>
      <c r="H90" s="286"/>
      <c r="I90" s="283"/>
      <c r="J90" s="284"/>
      <c r="K90" s="140"/>
      <c r="L90" s="171"/>
      <c r="M90" s="140"/>
      <c r="N90" s="140"/>
      <c r="O90" s="99"/>
      <c r="S90" s="227"/>
      <c r="U90" s="227"/>
      <c r="V90" s="227"/>
    </row>
    <row r="91" spans="2:22">
      <c r="B91" s="121"/>
      <c r="C91" s="121"/>
      <c r="D91" s="99"/>
      <c r="E91" s="282"/>
      <c r="F91" s="287"/>
      <c r="G91" s="283"/>
      <c r="H91" s="286"/>
      <c r="I91" s="283"/>
      <c r="J91" s="284"/>
      <c r="K91" s="140"/>
      <c r="L91" s="171"/>
      <c r="M91" s="140"/>
      <c r="N91" s="140"/>
      <c r="O91" s="99"/>
      <c r="U91" s="227"/>
      <c r="V91" s="12"/>
    </row>
    <row r="92" spans="2:22">
      <c r="B92" s="121"/>
      <c r="C92" s="121"/>
      <c r="D92" s="99"/>
      <c r="E92" s="282"/>
      <c r="F92" s="287"/>
      <c r="G92" s="283"/>
      <c r="H92" s="286"/>
      <c r="I92" s="283"/>
      <c r="J92" s="284"/>
      <c r="K92" s="140"/>
      <c r="L92" s="171"/>
      <c r="M92" s="140"/>
      <c r="N92" s="140"/>
      <c r="O92" s="99"/>
      <c r="U92" s="227"/>
      <c r="V92" s="227"/>
    </row>
    <row r="93" spans="2:22">
      <c r="B93" s="121"/>
      <c r="C93" s="121"/>
      <c r="D93" s="99"/>
      <c r="E93" s="282"/>
      <c r="F93" s="287"/>
      <c r="G93" s="283"/>
      <c r="H93" s="286"/>
      <c r="I93" s="283"/>
      <c r="J93" s="284"/>
      <c r="K93" s="140"/>
      <c r="L93" s="171"/>
      <c r="M93" s="99"/>
      <c r="N93" s="140"/>
      <c r="O93" s="99"/>
      <c r="U93" s="227"/>
      <c r="V93" s="12"/>
    </row>
    <row r="94" spans="2:22">
      <c r="B94" s="121"/>
      <c r="C94" s="121"/>
      <c r="D94" s="99"/>
      <c r="E94" s="282"/>
      <c r="F94" s="287"/>
      <c r="G94" s="283"/>
      <c r="H94" s="286"/>
      <c r="I94" s="283"/>
      <c r="J94" s="284"/>
      <c r="K94" s="140"/>
      <c r="L94" s="171"/>
      <c r="M94" s="140"/>
      <c r="N94" s="140"/>
      <c r="O94" s="99"/>
      <c r="U94" s="227"/>
      <c r="V94" s="12"/>
    </row>
    <row r="95" spans="2:22">
      <c r="B95" s="121"/>
      <c r="C95" s="121"/>
      <c r="D95" s="99"/>
      <c r="E95" s="282"/>
      <c r="F95" s="287"/>
      <c r="G95" s="283"/>
      <c r="H95" s="286"/>
      <c r="I95" s="283"/>
      <c r="J95" s="284"/>
      <c r="K95" s="140"/>
      <c r="L95" s="171"/>
      <c r="M95" s="140"/>
      <c r="N95" s="140"/>
      <c r="O95" s="99"/>
      <c r="S95" s="227"/>
      <c r="U95" s="227"/>
      <c r="V95" s="227"/>
    </row>
    <row r="96" spans="2:22">
      <c r="B96" s="121"/>
      <c r="C96" s="121"/>
      <c r="D96" s="99"/>
      <c r="E96" s="282"/>
      <c r="F96" s="287"/>
      <c r="G96" s="283"/>
      <c r="H96" s="286"/>
      <c r="I96" s="283"/>
      <c r="J96" s="284"/>
      <c r="K96" s="140"/>
      <c r="L96" s="171"/>
      <c r="M96" s="140"/>
      <c r="N96" s="140"/>
      <c r="O96" s="99"/>
      <c r="S96" s="227"/>
      <c r="U96" s="227"/>
      <c r="V96" s="227"/>
    </row>
    <row r="97" spans="2:22">
      <c r="B97" s="121"/>
      <c r="C97" s="121"/>
      <c r="D97" s="99"/>
      <c r="E97" s="282"/>
      <c r="F97" s="287"/>
      <c r="G97" s="283"/>
      <c r="H97" s="286"/>
      <c r="I97" s="283"/>
      <c r="J97" s="284"/>
      <c r="K97" s="140"/>
      <c r="L97" s="171"/>
      <c r="M97" s="140"/>
      <c r="N97" s="140"/>
      <c r="O97" s="99"/>
      <c r="S97" s="227"/>
      <c r="U97" s="227"/>
      <c r="V97" s="227"/>
    </row>
    <row r="98" spans="2:22">
      <c r="B98" s="121"/>
      <c r="C98" s="121"/>
      <c r="D98" s="99"/>
      <c r="E98" s="282"/>
      <c r="F98" s="287"/>
      <c r="G98" s="283"/>
      <c r="H98" s="286"/>
      <c r="I98" s="283"/>
      <c r="J98" s="284"/>
      <c r="K98" s="140"/>
      <c r="L98" s="171"/>
      <c r="M98" s="140"/>
      <c r="N98" s="140"/>
      <c r="O98" s="99"/>
      <c r="S98" s="227"/>
      <c r="U98" s="227"/>
      <c r="V98" s="227"/>
    </row>
    <row r="99" spans="2:22">
      <c r="B99" s="121"/>
      <c r="C99" s="121"/>
      <c r="D99" s="99"/>
      <c r="E99" s="282"/>
      <c r="F99" s="287"/>
      <c r="G99" s="283"/>
      <c r="H99" s="286"/>
      <c r="I99" s="283"/>
      <c r="J99" s="284"/>
      <c r="K99" s="140"/>
      <c r="L99" s="171"/>
      <c r="M99" s="140"/>
      <c r="N99" s="140"/>
      <c r="O99" s="99"/>
      <c r="S99" s="227"/>
      <c r="U99" s="227"/>
      <c r="V99" s="227"/>
    </row>
    <row r="100" spans="2:22">
      <c r="B100" s="121"/>
      <c r="C100" s="121"/>
      <c r="D100" s="99"/>
      <c r="E100" s="282"/>
      <c r="F100" s="287"/>
      <c r="G100" s="283"/>
      <c r="H100" s="286"/>
      <c r="I100" s="283"/>
      <c r="J100" s="284"/>
      <c r="K100" s="140"/>
      <c r="L100" s="171"/>
      <c r="M100" s="99"/>
      <c r="N100" s="140"/>
      <c r="O100" s="99"/>
      <c r="S100" s="227"/>
      <c r="U100" s="227"/>
      <c r="V100" s="12"/>
    </row>
    <row r="101" spans="2:22">
      <c r="B101" s="121"/>
      <c r="C101" s="121"/>
      <c r="D101" s="99"/>
      <c r="E101" s="282"/>
      <c r="F101" s="287"/>
      <c r="G101" s="283"/>
      <c r="H101" s="286"/>
      <c r="I101" s="283"/>
      <c r="J101" s="284"/>
      <c r="K101" s="140"/>
      <c r="L101" s="171"/>
      <c r="M101" s="140"/>
      <c r="N101" s="140"/>
      <c r="O101" s="99"/>
      <c r="S101" s="227"/>
      <c r="U101" s="227"/>
      <c r="V101" s="12"/>
    </row>
    <row r="102" spans="2:22">
      <c r="B102" s="121"/>
      <c r="C102" s="121"/>
      <c r="D102" s="99"/>
      <c r="E102" s="282"/>
      <c r="F102" s="287"/>
      <c r="G102" s="283"/>
      <c r="H102" s="286"/>
      <c r="I102" s="283"/>
      <c r="J102" s="284"/>
      <c r="K102" s="140"/>
      <c r="L102" s="171"/>
      <c r="M102" s="140"/>
      <c r="N102" s="140"/>
      <c r="O102" s="99"/>
      <c r="S102" s="227"/>
      <c r="U102" s="227"/>
      <c r="V102" s="12"/>
    </row>
    <row r="103" spans="2:22">
      <c r="B103" s="121"/>
      <c r="C103" s="121"/>
      <c r="D103" s="99"/>
      <c r="E103" s="282"/>
      <c r="F103" s="287"/>
      <c r="G103" s="283"/>
      <c r="H103" s="286"/>
      <c r="I103" s="283"/>
      <c r="J103" s="284"/>
      <c r="K103" s="140"/>
      <c r="L103" s="171"/>
      <c r="M103" s="140"/>
      <c r="N103" s="140"/>
      <c r="O103" s="99"/>
      <c r="S103" s="227"/>
      <c r="U103" s="227"/>
      <c r="V103" s="12"/>
    </row>
    <row r="104" spans="2:22">
      <c r="B104" s="121"/>
      <c r="C104" s="121"/>
      <c r="D104" s="99"/>
      <c r="E104" s="282"/>
      <c r="F104" s="287"/>
      <c r="G104" s="283"/>
      <c r="H104" s="286"/>
      <c r="I104" s="283"/>
      <c r="J104" s="284"/>
      <c r="K104" s="140"/>
      <c r="L104" s="171"/>
      <c r="M104" s="140"/>
      <c r="N104" s="140"/>
      <c r="O104" s="99"/>
      <c r="S104" s="227"/>
      <c r="U104" s="227"/>
      <c r="V104" s="227"/>
    </row>
    <row r="105" spans="2:22">
      <c r="B105" s="121"/>
      <c r="C105" s="121"/>
      <c r="D105" s="99"/>
      <c r="E105" s="282"/>
      <c r="F105" s="287"/>
      <c r="G105" s="283"/>
      <c r="H105" s="286"/>
      <c r="I105" s="283"/>
      <c r="J105" s="284"/>
      <c r="K105" s="140"/>
      <c r="L105" s="171"/>
      <c r="M105" s="140"/>
      <c r="N105" s="140"/>
      <c r="O105" s="99"/>
      <c r="S105" s="227"/>
      <c r="U105" s="227"/>
      <c r="V105" s="12"/>
    </row>
    <row r="106" spans="2:22">
      <c r="B106" s="121"/>
      <c r="C106" s="121"/>
      <c r="D106" s="99"/>
      <c r="E106" s="282"/>
      <c r="F106" s="287"/>
      <c r="G106" s="283"/>
      <c r="H106" s="286"/>
      <c r="I106" s="283"/>
      <c r="J106" s="284"/>
      <c r="K106" s="140"/>
      <c r="L106" s="171"/>
      <c r="M106" s="140"/>
      <c r="N106" s="140"/>
      <c r="O106" s="99"/>
      <c r="S106" s="227"/>
      <c r="U106" s="227"/>
      <c r="V106" s="227"/>
    </row>
    <row r="107" spans="2:22">
      <c r="B107" s="121"/>
      <c r="C107" s="121"/>
      <c r="D107" s="99"/>
      <c r="E107" s="282"/>
      <c r="F107" s="287"/>
      <c r="G107" s="283"/>
      <c r="H107" s="286"/>
      <c r="I107" s="283"/>
      <c r="J107" s="284"/>
      <c r="K107" s="140"/>
      <c r="L107" s="171"/>
      <c r="M107" s="140"/>
      <c r="N107" s="140"/>
      <c r="O107" s="99"/>
      <c r="U107" s="227"/>
      <c r="V107" s="12"/>
    </row>
    <row r="108" spans="2:22">
      <c r="B108" s="121"/>
      <c r="C108" s="121"/>
      <c r="D108" s="99"/>
      <c r="E108" s="282"/>
      <c r="F108" s="287"/>
      <c r="G108" s="283"/>
      <c r="H108" s="286"/>
      <c r="I108" s="283"/>
      <c r="J108" s="284"/>
      <c r="K108" s="140"/>
      <c r="L108" s="171"/>
      <c r="M108" s="140"/>
      <c r="N108" s="140"/>
      <c r="O108" s="99"/>
      <c r="S108" s="227"/>
      <c r="U108" s="227"/>
      <c r="V108" s="227"/>
    </row>
    <row r="109" spans="2:22">
      <c r="B109" s="121"/>
      <c r="C109" s="121"/>
      <c r="D109" s="99"/>
      <c r="E109" s="282"/>
      <c r="F109" s="287"/>
      <c r="G109" s="283"/>
      <c r="H109" s="286"/>
      <c r="I109" s="283"/>
      <c r="J109" s="284"/>
      <c r="K109" s="140"/>
      <c r="L109" s="171"/>
      <c r="M109" s="140"/>
      <c r="N109" s="140"/>
      <c r="O109" s="99"/>
      <c r="U109" s="227"/>
      <c r="V109" s="227"/>
    </row>
    <row r="110" spans="2:22">
      <c r="B110" s="121"/>
      <c r="C110" s="121"/>
      <c r="D110" s="99"/>
      <c r="E110" s="282"/>
      <c r="F110" s="287"/>
      <c r="G110" s="283"/>
      <c r="H110" s="286"/>
      <c r="I110" s="283"/>
      <c r="J110" s="284"/>
      <c r="K110" s="140"/>
      <c r="L110" s="171"/>
      <c r="M110" s="140"/>
      <c r="N110" s="140"/>
      <c r="O110" s="99"/>
      <c r="S110" s="227"/>
      <c r="U110" s="227"/>
      <c r="V110" s="12"/>
    </row>
    <row r="111" spans="2:22">
      <c r="B111" s="121"/>
      <c r="C111" s="121"/>
      <c r="D111" s="99"/>
      <c r="E111" s="282"/>
      <c r="F111" s="287"/>
      <c r="G111" s="283"/>
      <c r="H111" s="286"/>
      <c r="I111" s="283"/>
      <c r="J111" s="284"/>
      <c r="K111" s="140"/>
      <c r="L111" s="171"/>
      <c r="M111" s="140"/>
      <c r="N111" s="140"/>
      <c r="O111" s="99"/>
      <c r="S111" s="227"/>
      <c r="U111" s="227"/>
      <c r="V111" s="227"/>
    </row>
    <row r="112" spans="2:22">
      <c r="B112" s="121"/>
      <c r="C112" s="121"/>
      <c r="D112" s="99"/>
      <c r="E112" s="282"/>
      <c r="F112" s="287"/>
      <c r="G112" s="283"/>
      <c r="H112" s="286"/>
      <c r="I112" s="283"/>
      <c r="J112" s="284"/>
      <c r="K112" s="140"/>
      <c r="L112" s="171"/>
      <c r="M112" s="140"/>
      <c r="N112" s="140"/>
      <c r="O112" s="99"/>
      <c r="S112" s="227"/>
      <c r="U112" s="227"/>
      <c r="V112" s="227"/>
    </row>
    <row r="113" spans="2:22">
      <c r="B113" s="121"/>
      <c r="C113" s="121"/>
      <c r="D113" s="99"/>
      <c r="E113" s="282"/>
      <c r="F113" s="287"/>
      <c r="G113" s="283"/>
      <c r="H113" s="286"/>
      <c r="I113" s="283"/>
      <c r="J113" s="284"/>
      <c r="K113" s="140"/>
      <c r="L113" s="171"/>
      <c r="M113" s="140"/>
      <c r="N113" s="140"/>
      <c r="O113" s="99"/>
      <c r="S113" s="227"/>
      <c r="U113" s="227"/>
      <c r="V113" s="227"/>
    </row>
    <row r="114" spans="2:22">
      <c r="B114" s="121"/>
      <c r="C114" s="121"/>
      <c r="D114" s="99"/>
      <c r="E114" s="282"/>
      <c r="F114" s="287"/>
      <c r="G114" s="283"/>
      <c r="H114" s="286"/>
      <c r="I114" s="283"/>
      <c r="J114" s="284"/>
      <c r="K114" s="140"/>
      <c r="L114" s="171"/>
      <c r="M114" s="140"/>
      <c r="N114" s="140"/>
      <c r="O114" s="99"/>
      <c r="S114" s="227"/>
      <c r="U114" s="227"/>
      <c r="V114" s="227"/>
    </row>
    <row r="115" spans="2:22">
      <c r="B115" s="121"/>
      <c r="C115" s="121"/>
      <c r="D115" s="99"/>
      <c r="E115" s="282"/>
      <c r="F115" s="287"/>
      <c r="G115" s="283"/>
      <c r="H115" s="286"/>
      <c r="I115" s="283"/>
      <c r="J115" s="284"/>
      <c r="K115" s="140"/>
      <c r="L115" s="171"/>
      <c r="M115" s="140"/>
      <c r="N115" s="140"/>
      <c r="O115" s="99"/>
      <c r="S115" s="227"/>
      <c r="U115" s="227"/>
      <c r="V115" s="227"/>
    </row>
    <row r="116" spans="2:22">
      <c r="B116" s="121"/>
      <c r="C116" s="121"/>
      <c r="D116" s="99"/>
      <c r="E116" s="282"/>
      <c r="F116" s="287"/>
      <c r="G116" s="283"/>
      <c r="H116" s="286"/>
      <c r="I116" s="283"/>
      <c r="J116" s="284"/>
      <c r="K116" s="140"/>
      <c r="L116" s="171"/>
      <c r="M116" s="140"/>
      <c r="N116" s="140"/>
      <c r="O116" s="99"/>
      <c r="S116" s="227"/>
      <c r="U116" s="227"/>
      <c r="V116" s="227"/>
    </row>
    <row r="117" spans="2:22">
      <c r="B117" s="121"/>
      <c r="C117" s="121"/>
      <c r="D117" s="99"/>
      <c r="E117" s="282"/>
      <c r="F117" s="287"/>
      <c r="G117" s="283"/>
      <c r="H117" s="286"/>
      <c r="I117" s="283"/>
      <c r="J117" s="284"/>
      <c r="K117" s="140"/>
      <c r="L117" s="171"/>
      <c r="M117" s="140"/>
      <c r="N117" s="140"/>
      <c r="O117" s="99"/>
      <c r="S117" s="227"/>
      <c r="U117" s="227"/>
      <c r="V117" s="227"/>
    </row>
    <row r="118" spans="2:22">
      <c r="B118" s="121"/>
      <c r="C118" s="121"/>
      <c r="D118" s="99"/>
      <c r="E118" s="282"/>
      <c r="F118" s="287"/>
      <c r="G118" s="283"/>
      <c r="H118" s="286"/>
      <c r="I118" s="283"/>
      <c r="J118" s="284"/>
      <c r="K118" s="140"/>
      <c r="L118" s="171"/>
      <c r="M118" s="140"/>
      <c r="N118" s="140"/>
      <c r="O118" s="99"/>
      <c r="S118" s="227"/>
      <c r="U118" s="227"/>
      <c r="V118" s="12"/>
    </row>
    <row r="119" spans="2:22">
      <c r="B119" s="121"/>
      <c r="C119" s="121"/>
      <c r="D119" s="99"/>
      <c r="E119" s="282"/>
      <c r="F119" s="287"/>
      <c r="G119" s="283"/>
      <c r="H119" s="286"/>
      <c r="I119" s="283"/>
      <c r="J119" s="284"/>
      <c r="K119" s="140"/>
      <c r="L119" s="171"/>
      <c r="M119" s="140"/>
      <c r="N119" s="140"/>
      <c r="O119" s="99"/>
      <c r="S119" s="227"/>
      <c r="U119" s="227"/>
      <c r="V119" s="12"/>
    </row>
    <row r="120" spans="2:22">
      <c r="B120" s="121"/>
      <c r="C120" s="121"/>
      <c r="D120" s="99"/>
      <c r="E120" s="282"/>
      <c r="F120" s="287"/>
      <c r="G120" s="283"/>
      <c r="H120" s="286"/>
      <c r="I120" s="283"/>
      <c r="J120" s="284"/>
      <c r="K120" s="140"/>
      <c r="L120" s="171"/>
      <c r="M120" s="140"/>
      <c r="N120" s="140"/>
      <c r="O120" s="99"/>
      <c r="S120" s="227"/>
      <c r="U120" s="227"/>
      <c r="V120" s="227"/>
    </row>
    <row r="121" spans="2:22">
      <c r="B121" s="121"/>
      <c r="C121" s="121"/>
      <c r="D121" s="99"/>
      <c r="E121" s="282"/>
      <c r="F121" s="287"/>
      <c r="G121" s="283"/>
      <c r="H121" s="286"/>
      <c r="I121" s="283"/>
      <c r="J121" s="284"/>
      <c r="K121" s="140"/>
      <c r="L121" s="171"/>
      <c r="M121" s="140"/>
      <c r="N121" s="140"/>
      <c r="O121" s="99"/>
      <c r="S121" s="227"/>
      <c r="U121" s="227"/>
      <c r="V121" s="227"/>
    </row>
    <row r="122" spans="2:22">
      <c r="B122" s="121"/>
      <c r="C122" s="121"/>
      <c r="D122" s="99"/>
      <c r="E122" s="282"/>
      <c r="F122" s="287"/>
      <c r="G122" s="283"/>
      <c r="H122" s="286"/>
      <c r="I122" s="283"/>
      <c r="J122" s="284"/>
      <c r="K122" s="140"/>
      <c r="L122" s="171"/>
      <c r="M122" s="140"/>
      <c r="N122" s="140"/>
      <c r="O122" s="99"/>
      <c r="S122" s="227"/>
      <c r="U122" s="227"/>
      <c r="V122" s="227"/>
    </row>
    <row r="123" spans="2:22">
      <c r="B123" s="121"/>
      <c r="C123" s="121"/>
      <c r="D123" s="99"/>
      <c r="E123" s="282"/>
      <c r="F123" s="287"/>
      <c r="G123" s="283"/>
      <c r="H123" s="286"/>
      <c r="I123" s="283"/>
      <c r="J123" s="284"/>
      <c r="K123" s="140"/>
      <c r="L123" s="171"/>
      <c r="M123" s="140"/>
      <c r="N123" s="140"/>
      <c r="O123" s="99"/>
      <c r="S123" s="227"/>
      <c r="U123" s="227"/>
      <c r="V123" s="12"/>
    </row>
    <row r="124" spans="2:22">
      <c r="B124" s="121"/>
      <c r="C124" s="121"/>
      <c r="D124" s="99"/>
      <c r="E124" s="282"/>
      <c r="F124" s="287"/>
      <c r="G124" s="283"/>
      <c r="H124" s="286"/>
      <c r="I124" s="283"/>
      <c r="J124" s="284"/>
      <c r="K124" s="140"/>
      <c r="L124" s="171"/>
      <c r="M124" s="99"/>
      <c r="N124" s="140"/>
      <c r="O124" s="99"/>
      <c r="S124" s="227"/>
      <c r="U124" s="227"/>
      <c r="V124" s="12"/>
    </row>
    <row r="125" spans="2:22">
      <c r="B125" s="121"/>
      <c r="C125" s="121"/>
      <c r="D125" s="99"/>
      <c r="E125" s="282"/>
      <c r="F125" s="287"/>
      <c r="G125" s="283"/>
      <c r="H125" s="286"/>
      <c r="I125" s="283"/>
      <c r="J125" s="284"/>
      <c r="K125" s="140"/>
      <c r="L125" s="171"/>
      <c r="M125" s="140"/>
      <c r="N125" s="140"/>
      <c r="O125" s="99"/>
      <c r="S125" s="227"/>
      <c r="U125" s="227"/>
      <c r="V125" s="12"/>
    </row>
    <row r="126" spans="2:22">
      <c r="B126" s="121"/>
      <c r="C126" s="121"/>
      <c r="D126" s="99"/>
      <c r="E126" s="282"/>
      <c r="F126" s="287"/>
      <c r="G126" s="283"/>
      <c r="H126" s="286"/>
      <c r="I126" s="283"/>
      <c r="J126" s="284"/>
      <c r="K126" s="140"/>
      <c r="L126" s="171"/>
      <c r="M126" s="140"/>
      <c r="N126" s="140"/>
      <c r="O126" s="99"/>
      <c r="S126" s="227"/>
      <c r="U126" s="227"/>
      <c r="V126" s="227"/>
    </row>
    <row r="127" spans="2:22">
      <c r="B127" s="121"/>
      <c r="C127" s="121"/>
      <c r="D127" s="99"/>
      <c r="E127" s="282"/>
      <c r="F127" s="287"/>
      <c r="G127" s="283"/>
      <c r="H127" s="286"/>
      <c r="I127" s="283"/>
      <c r="J127" s="284"/>
      <c r="K127" s="140"/>
      <c r="L127" s="171"/>
      <c r="M127" s="99"/>
      <c r="N127" s="140"/>
      <c r="O127" s="99"/>
      <c r="S127" s="227"/>
      <c r="U127" s="227"/>
      <c r="V127" s="12"/>
    </row>
    <row r="128" spans="2:22">
      <c r="B128" s="121"/>
      <c r="C128" s="121"/>
      <c r="D128" s="99"/>
      <c r="E128" s="282"/>
      <c r="F128" s="287"/>
      <c r="G128" s="283"/>
      <c r="H128" s="286"/>
      <c r="I128" s="283"/>
      <c r="J128" s="284"/>
      <c r="K128" s="140"/>
      <c r="L128" s="171"/>
      <c r="M128" s="140"/>
      <c r="N128" s="140"/>
      <c r="O128" s="99"/>
      <c r="S128" s="227"/>
      <c r="U128" s="227"/>
      <c r="V128" s="12"/>
    </row>
    <row r="129" spans="2:22">
      <c r="B129" s="121"/>
      <c r="C129" s="121"/>
      <c r="D129" s="99"/>
      <c r="E129" s="282"/>
      <c r="F129" s="287"/>
      <c r="G129" s="283"/>
      <c r="H129" s="286"/>
      <c r="I129" s="283"/>
      <c r="J129" s="284"/>
      <c r="K129" s="140"/>
      <c r="L129" s="171"/>
      <c r="M129" s="140"/>
      <c r="N129" s="140"/>
      <c r="O129" s="99"/>
      <c r="S129" s="227"/>
      <c r="U129" s="227"/>
      <c r="V129" s="227"/>
    </row>
    <row r="130" spans="2:22">
      <c r="B130" s="121"/>
      <c r="C130" s="121"/>
      <c r="D130" s="99"/>
      <c r="E130" s="282"/>
      <c r="F130" s="287"/>
      <c r="G130" s="283"/>
      <c r="H130" s="286"/>
      <c r="I130" s="283"/>
      <c r="J130" s="284"/>
      <c r="K130" s="140"/>
      <c r="L130" s="171"/>
      <c r="M130" s="140"/>
      <c r="N130" s="140"/>
      <c r="O130" s="99"/>
      <c r="S130" s="227"/>
      <c r="U130" s="227"/>
      <c r="V130" s="12"/>
    </row>
    <row r="131" spans="2:22">
      <c r="B131" s="121"/>
      <c r="C131" s="121"/>
      <c r="D131" s="99"/>
      <c r="E131" s="282"/>
      <c r="F131" s="287"/>
      <c r="G131" s="283"/>
      <c r="H131" s="286"/>
      <c r="I131" s="283"/>
      <c r="J131" s="284"/>
      <c r="K131" s="140"/>
      <c r="L131" s="171"/>
      <c r="M131" s="140"/>
      <c r="N131" s="140"/>
      <c r="O131" s="99"/>
      <c r="S131" s="227"/>
      <c r="U131" s="227"/>
    </row>
    <row r="132" spans="2:22">
      <c r="B132" s="121"/>
      <c r="C132" s="121"/>
      <c r="D132" s="99"/>
      <c r="E132" s="282"/>
      <c r="F132" s="287"/>
      <c r="G132" s="283"/>
      <c r="H132" s="286"/>
      <c r="I132" s="283"/>
      <c r="J132" s="284"/>
      <c r="K132" s="140"/>
      <c r="L132" s="171"/>
      <c r="M132" s="140"/>
      <c r="N132" s="140"/>
      <c r="O132" s="99"/>
      <c r="U132" s="227"/>
      <c r="V132" s="12"/>
    </row>
    <row r="133" spans="2:22">
      <c r="B133" s="121"/>
      <c r="C133" s="121"/>
      <c r="D133" s="99"/>
      <c r="E133" s="282"/>
      <c r="F133" s="287"/>
      <c r="G133" s="283"/>
      <c r="H133" s="286"/>
      <c r="I133" s="283"/>
      <c r="J133" s="284"/>
      <c r="K133" s="140"/>
      <c r="L133" s="171"/>
      <c r="M133" s="140"/>
      <c r="N133" s="140"/>
      <c r="O133" s="99"/>
      <c r="S133" s="227"/>
      <c r="T133" s="227"/>
      <c r="U133" s="227"/>
      <c r="V133" s="227"/>
    </row>
    <row r="134" spans="2:22">
      <c r="B134" s="121"/>
      <c r="C134" s="121"/>
      <c r="D134" s="99"/>
      <c r="E134" s="282"/>
      <c r="F134" s="287"/>
      <c r="G134" s="283"/>
      <c r="H134" s="286"/>
      <c r="I134" s="283"/>
      <c r="J134" s="284"/>
      <c r="K134" s="140"/>
      <c r="L134" s="171"/>
      <c r="M134" s="140"/>
      <c r="N134" s="140"/>
      <c r="O134" s="99"/>
      <c r="S134" s="227"/>
      <c r="T134" s="227"/>
      <c r="U134" s="227"/>
      <c r="V134" s="227"/>
    </row>
    <row r="135" spans="2:22">
      <c r="B135" s="121"/>
      <c r="C135" s="121"/>
      <c r="D135" s="99"/>
      <c r="E135" s="282"/>
      <c r="F135" s="287"/>
      <c r="G135" s="283"/>
      <c r="H135" s="286"/>
      <c r="I135" s="283"/>
      <c r="J135" s="284"/>
      <c r="K135" s="140"/>
      <c r="L135" s="171"/>
      <c r="M135" s="140"/>
      <c r="N135" s="140"/>
      <c r="O135" s="99"/>
      <c r="S135" s="227"/>
      <c r="T135" s="227"/>
      <c r="U135" s="227"/>
      <c r="V135" s="227"/>
    </row>
    <row r="136" spans="2:22">
      <c r="B136" s="121"/>
      <c r="C136" s="121"/>
      <c r="D136" s="99"/>
      <c r="E136" s="282"/>
      <c r="F136" s="171"/>
      <c r="G136" s="283"/>
      <c r="H136" s="286"/>
      <c r="I136" s="283"/>
      <c r="J136" s="284"/>
      <c r="K136" s="140"/>
      <c r="L136" s="171"/>
      <c r="M136" s="140"/>
      <c r="N136" s="140"/>
      <c r="O136" s="99"/>
      <c r="S136" s="227"/>
      <c r="T136" s="227"/>
      <c r="U136" s="227"/>
      <c r="V136" s="227"/>
    </row>
    <row r="137" spans="2:22">
      <c r="B137" s="121"/>
      <c r="C137" s="121"/>
      <c r="D137" s="99"/>
      <c r="E137" s="282"/>
      <c r="F137" s="171"/>
      <c r="G137" s="283"/>
      <c r="H137" s="286"/>
      <c r="I137" s="283"/>
      <c r="J137" s="284"/>
      <c r="K137" s="140"/>
      <c r="L137" s="171"/>
      <c r="M137" s="140"/>
      <c r="N137" s="140"/>
      <c r="O137" s="99"/>
      <c r="S137" s="12"/>
      <c r="T137" s="12"/>
      <c r="U137" s="227"/>
    </row>
    <row r="138" spans="2:22">
      <c r="B138" s="121"/>
      <c r="C138" s="121"/>
      <c r="D138" s="99"/>
      <c r="E138" s="282"/>
      <c r="F138" s="171"/>
      <c r="G138" s="283"/>
      <c r="H138" s="286"/>
      <c r="I138" s="283"/>
      <c r="J138" s="284"/>
      <c r="K138" s="140"/>
      <c r="L138" s="171"/>
      <c r="M138" s="140"/>
      <c r="N138" s="140"/>
      <c r="O138" s="99"/>
      <c r="S138" s="227"/>
      <c r="T138" s="227"/>
      <c r="U138" s="227"/>
      <c r="V138" s="227"/>
    </row>
    <row r="139" spans="2:22">
      <c r="B139" s="121"/>
      <c r="C139" s="121"/>
      <c r="D139" s="99"/>
      <c r="E139" s="282"/>
      <c r="F139" s="171"/>
      <c r="G139" s="283"/>
      <c r="H139" s="286"/>
      <c r="I139" s="283"/>
      <c r="J139" s="284"/>
      <c r="K139" s="140"/>
      <c r="L139" s="171"/>
      <c r="M139" s="140"/>
      <c r="N139" s="140"/>
      <c r="O139" s="99"/>
      <c r="S139" s="227"/>
      <c r="T139" s="227"/>
      <c r="U139" s="227"/>
      <c r="V139" s="227"/>
    </row>
    <row r="140" spans="2:22">
      <c r="B140" s="121"/>
      <c r="C140" s="121"/>
      <c r="D140" s="99"/>
      <c r="E140" s="282"/>
      <c r="F140" s="171"/>
      <c r="G140" s="283"/>
      <c r="H140" s="286"/>
      <c r="I140" s="283"/>
      <c r="J140" s="284"/>
      <c r="K140" s="140"/>
      <c r="L140" s="171"/>
      <c r="M140" s="140"/>
      <c r="N140" s="140"/>
      <c r="O140" s="99"/>
      <c r="S140" s="227"/>
      <c r="T140" s="227"/>
      <c r="U140" s="227"/>
      <c r="V140" s="227"/>
    </row>
    <row r="141" spans="2:22">
      <c r="B141" s="121"/>
      <c r="C141" s="121"/>
      <c r="D141" s="99"/>
      <c r="E141" s="282"/>
      <c r="F141" s="171"/>
      <c r="G141" s="283"/>
      <c r="H141" s="286"/>
      <c r="I141" s="283"/>
      <c r="J141" s="284"/>
      <c r="K141" s="140"/>
      <c r="L141" s="171"/>
      <c r="M141" s="140"/>
      <c r="N141" s="140"/>
      <c r="O141" s="99"/>
      <c r="S141" s="227"/>
      <c r="T141" s="227"/>
      <c r="U141" s="227"/>
      <c r="V141" s="227"/>
    </row>
    <row r="142" spans="2:22">
      <c r="B142" s="121"/>
      <c r="C142" s="121"/>
      <c r="D142" s="99"/>
      <c r="E142" s="282"/>
      <c r="F142" s="171"/>
      <c r="G142" s="283"/>
      <c r="H142" s="286"/>
      <c r="I142" s="283"/>
      <c r="J142" s="284"/>
      <c r="K142" s="140"/>
      <c r="L142" s="171"/>
      <c r="M142" s="140"/>
      <c r="N142" s="140"/>
      <c r="O142" s="99"/>
      <c r="S142" s="227"/>
      <c r="T142" s="227"/>
      <c r="U142" s="227"/>
      <c r="V142" s="227"/>
    </row>
    <row r="143" spans="2:22">
      <c r="B143" s="121"/>
      <c r="C143" s="121"/>
      <c r="D143" s="99"/>
      <c r="E143" s="282"/>
      <c r="F143" s="171"/>
      <c r="G143" s="283"/>
      <c r="H143" s="286"/>
      <c r="I143" s="283"/>
      <c r="J143" s="284"/>
      <c r="K143" s="140"/>
      <c r="L143" s="171"/>
      <c r="M143" s="140"/>
      <c r="N143" s="140"/>
      <c r="O143" s="99"/>
      <c r="S143" s="227"/>
      <c r="T143" s="227"/>
      <c r="U143" s="227"/>
    </row>
    <row r="144" spans="2:22">
      <c r="B144" s="121"/>
      <c r="C144" s="121"/>
      <c r="D144" s="99"/>
      <c r="E144" s="282"/>
      <c r="F144" s="171"/>
      <c r="G144" s="283"/>
      <c r="H144" s="286"/>
      <c r="I144" s="283"/>
      <c r="J144" s="284"/>
      <c r="K144" s="140"/>
      <c r="L144" s="171"/>
      <c r="M144" s="140"/>
      <c r="N144" s="140"/>
      <c r="O144" s="99"/>
      <c r="T144" s="227"/>
      <c r="U144" s="227"/>
      <c r="V144" s="12"/>
    </row>
    <row r="145" spans="2:22">
      <c r="B145" s="121"/>
      <c r="C145" s="121"/>
      <c r="D145" s="99"/>
      <c r="E145" s="282"/>
      <c r="F145" s="171"/>
      <c r="G145" s="283"/>
      <c r="H145" s="286"/>
      <c r="I145" s="283"/>
      <c r="J145" s="284"/>
      <c r="K145" s="140"/>
      <c r="L145" s="171"/>
      <c r="M145" s="140"/>
      <c r="N145" s="140"/>
      <c r="O145" s="99"/>
      <c r="S145" s="227"/>
      <c r="T145" s="227"/>
      <c r="U145" s="227"/>
      <c r="V145" s="227"/>
    </row>
    <row r="146" spans="2:22">
      <c r="B146" s="121"/>
      <c r="C146" s="121"/>
      <c r="D146" s="99"/>
      <c r="E146" s="282"/>
      <c r="F146" s="171"/>
      <c r="G146" s="283"/>
      <c r="H146" s="286"/>
      <c r="I146" s="283"/>
      <c r="J146" s="284"/>
      <c r="K146" s="140"/>
      <c r="L146" s="171"/>
      <c r="M146" s="140"/>
      <c r="N146" s="140"/>
      <c r="O146" s="99"/>
      <c r="S146" s="227"/>
      <c r="T146" s="227"/>
      <c r="U146" s="227"/>
      <c r="V146" s="227"/>
    </row>
    <row r="147" spans="2:22">
      <c r="B147" s="121"/>
      <c r="C147" s="121"/>
      <c r="D147" s="99"/>
      <c r="E147" s="282"/>
      <c r="F147" s="171"/>
      <c r="G147" s="283"/>
      <c r="H147" s="286"/>
      <c r="I147" s="283"/>
      <c r="J147" s="284"/>
      <c r="K147" s="140"/>
      <c r="L147" s="171"/>
      <c r="M147" s="140"/>
      <c r="N147" s="140"/>
      <c r="O147" s="99"/>
      <c r="S147" s="227"/>
      <c r="T147" s="227"/>
      <c r="U147" s="227"/>
      <c r="V147" s="227"/>
    </row>
    <row r="148" spans="2:22">
      <c r="B148" s="121"/>
      <c r="C148" s="121"/>
      <c r="D148" s="99"/>
      <c r="E148" s="282"/>
      <c r="F148" s="171"/>
      <c r="G148" s="283"/>
      <c r="H148" s="286"/>
      <c r="I148" s="283"/>
      <c r="J148" s="284"/>
      <c r="K148" s="140"/>
      <c r="L148" s="171"/>
      <c r="M148" s="140"/>
      <c r="N148" s="140"/>
      <c r="O148" s="99"/>
      <c r="S148" s="227"/>
      <c r="T148" s="227"/>
      <c r="U148" s="227"/>
      <c r="V148" s="227"/>
    </row>
    <row r="149" spans="2:22">
      <c r="B149" s="121"/>
      <c r="C149" s="121"/>
      <c r="D149" s="99"/>
      <c r="E149" s="282"/>
      <c r="F149" s="171"/>
      <c r="G149" s="283"/>
      <c r="H149" s="286"/>
      <c r="I149" s="283"/>
      <c r="J149" s="284"/>
      <c r="K149" s="140"/>
      <c r="L149" s="171"/>
      <c r="M149" s="140"/>
      <c r="N149" s="140"/>
      <c r="O149" s="99"/>
      <c r="S149" s="227"/>
      <c r="T149" s="227"/>
      <c r="U149" s="227"/>
      <c r="V149" s="12"/>
    </row>
    <row r="150" spans="2:22">
      <c r="B150" s="121"/>
      <c r="C150" s="121"/>
      <c r="D150" s="99"/>
      <c r="E150" s="282"/>
      <c r="F150" s="171"/>
      <c r="G150" s="283"/>
      <c r="H150" s="286"/>
      <c r="I150" s="283"/>
      <c r="J150" s="284"/>
      <c r="K150" s="140"/>
      <c r="L150" s="171"/>
      <c r="M150" s="140"/>
      <c r="N150" s="140"/>
      <c r="O150" s="99"/>
      <c r="S150" s="227"/>
      <c r="T150" s="12"/>
      <c r="U150" s="227"/>
      <c r="V150" s="12"/>
    </row>
    <row r="151" spans="2:22">
      <c r="B151" s="121"/>
      <c r="C151" s="121"/>
      <c r="D151" s="99"/>
      <c r="E151" s="282"/>
      <c r="F151" s="171"/>
      <c r="G151" s="283"/>
      <c r="H151" s="286"/>
      <c r="I151" s="283"/>
      <c r="J151" s="284"/>
      <c r="K151" s="140"/>
      <c r="L151" s="171"/>
      <c r="M151" s="140"/>
      <c r="N151" s="140"/>
      <c r="O151" s="99"/>
      <c r="S151" s="227"/>
      <c r="T151" s="227"/>
      <c r="U151" s="227"/>
      <c r="V151" s="227"/>
    </row>
    <row r="152" spans="2:22">
      <c r="B152" s="121"/>
      <c r="C152" s="121"/>
      <c r="D152" s="99"/>
      <c r="E152" s="282"/>
      <c r="F152" s="171"/>
      <c r="G152" s="283"/>
      <c r="H152" s="286"/>
      <c r="I152" s="283"/>
      <c r="J152" s="284"/>
      <c r="K152" s="140"/>
      <c r="L152" s="171"/>
      <c r="M152" s="140"/>
      <c r="N152" s="140"/>
      <c r="O152" s="99"/>
      <c r="S152" s="227"/>
      <c r="T152" s="227"/>
      <c r="U152" s="227"/>
      <c r="V152" s="227"/>
    </row>
    <row r="153" spans="2:22">
      <c r="B153" s="121"/>
      <c r="C153" s="121"/>
      <c r="D153" s="99"/>
      <c r="E153" s="282"/>
      <c r="F153" s="171"/>
      <c r="G153" s="283"/>
      <c r="H153" s="286"/>
      <c r="I153" s="283"/>
      <c r="J153" s="284"/>
      <c r="K153" s="140"/>
      <c r="L153" s="171"/>
      <c r="M153" s="140"/>
      <c r="N153" s="140"/>
      <c r="O153" s="99"/>
      <c r="S153" s="227"/>
      <c r="T153" s="227"/>
      <c r="U153" s="227"/>
      <c r="V153" s="227"/>
    </row>
    <row r="154" spans="2:22">
      <c r="B154" s="121"/>
      <c r="C154" s="121"/>
      <c r="D154" s="99"/>
      <c r="E154" s="282"/>
      <c r="F154" s="171"/>
      <c r="G154" s="283"/>
      <c r="H154" s="286"/>
      <c r="I154" s="283"/>
      <c r="J154" s="284"/>
      <c r="K154" s="140"/>
      <c r="L154" s="171"/>
      <c r="M154" s="140"/>
      <c r="N154" s="140"/>
      <c r="O154" s="99"/>
      <c r="S154" s="227"/>
      <c r="T154" s="227"/>
      <c r="U154" s="227"/>
      <c r="V154" s="227"/>
    </row>
    <row r="155" spans="2:22">
      <c r="B155" s="121"/>
      <c r="C155" s="121"/>
      <c r="D155" s="99"/>
      <c r="E155" s="282"/>
      <c r="F155" s="171"/>
      <c r="G155" s="283"/>
      <c r="H155" s="286"/>
      <c r="I155" s="283"/>
      <c r="J155" s="284"/>
      <c r="K155" s="140"/>
      <c r="L155" s="171"/>
      <c r="M155" s="140"/>
      <c r="N155" s="140"/>
      <c r="O155" s="99"/>
      <c r="S155" s="227"/>
      <c r="T155" s="227"/>
    </row>
    <row r="156" spans="2:22">
      <c r="B156" s="121"/>
      <c r="C156" s="121"/>
      <c r="D156" s="99"/>
      <c r="E156" s="282"/>
      <c r="F156" s="171"/>
      <c r="G156" s="283"/>
      <c r="H156" s="286"/>
      <c r="I156" s="283"/>
      <c r="J156" s="284"/>
      <c r="K156" s="140"/>
      <c r="L156" s="171"/>
      <c r="M156" s="99"/>
      <c r="N156" s="140"/>
      <c r="O156" s="99"/>
      <c r="S156" s="12"/>
      <c r="T156" s="227"/>
      <c r="U156" s="227"/>
      <c r="V156" s="227"/>
    </row>
    <row r="157" spans="2:22">
      <c r="B157" s="121"/>
      <c r="C157" s="121"/>
      <c r="D157" s="99"/>
      <c r="E157" s="282"/>
      <c r="F157" s="171"/>
      <c r="G157" s="283"/>
      <c r="H157" s="286"/>
      <c r="I157" s="283"/>
      <c r="J157" s="284"/>
      <c r="K157" s="140"/>
      <c r="L157" s="171"/>
      <c r="M157" s="140"/>
      <c r="N157" s="140"/>
      <c r="O157" s="99"/>
      <c r="S157" s="227"/>
      <c r="T157" s="227"/>
      <c r="U157" s="227"/>
      <c r="V157" s="227"/>
    </row>
    <row r="158" spans="2:22">
      <c r="B158" s="121"/>
      <c r="C158" s="121"/>
      <c r="D158" s="99"/>
      <c r="E158" s="282"/>
      <c r="F158" s="171"/>
      <c r="G158" s="283"/>
      <c r="H158" s="286"/>
      <c r="I158" s="283"/>
      <c r="J158" s="284"/>
      <c r="K158" s="140"/>
      <c r="L158" s="171"/>
      <c r="M158" s="140"/>
      <c r="N158" s="140"/>
      <c r="O158" s="99"/>
      <c r="S158" s="227"/>
      <c r="T158" s="227"/>
      <c r="U158" s="227"/>
      <c r="V158" s="227"/>
    </row>
    <row r="159" spans="2:22">
      <c r="B159" s="121"/>
      <c r="C159" s="121"/>
      <c r="D159" s="99"/>
      <c r="E159" s="282"/>
      <c r="F159" s="171"/>
      <c r="G159" s="283"/>
      <c r="H159" s="286"/>
      <c r="I159" s="283"/>
      <c r="J159" s="284"/>
      <c r="K159" s="140"/>
      <c r="L159" s="171"/>
      <c r="M159" s="140"/>
      <c r="N159" s="140"/>
      <c r="O159" s="99"/>
      <c r="S159" s="227"/>
      <c r="T159" s="227"/>
      <c r="U159" s="227"/>
      <c r="V159" s="227"/>
    </row>
    <row r="160" spans="2:22">
      <c r="B160" s="121"/>
      <c r="C160" s="121"/>
      <c r="D160" s="99"/>
      <c r="E160" s="282"/>
      <c r="F160" s="171"/>
      <c r="G160" s="283"/>
      <c r="H160" s="286"/>
      <c r="I160" s="283"/>
      <c r="J160" s="284"/>
      <c r="K160" s="140"/>
      <c r="L160" s="171"/>
      <c r="M160" s="140"/>
      <c r="N160" s="140"/>
      <c r="O160" s="99"/>
      <c r="S160" s="227"/>
      <c r="T160" s="227"/>
      <c r="U160" s="227"/>
      <c r="V160" s="12"/>
    </row>
    <row r="161" spans="2:22">
      <c r="B161" s="121"/>
      <c r="C161" s="121"/>
      <c r="D161" s="99"/>
      <c r="E161" s="282"/>
      <c r="F161" s="171"/>
      <c r="G161" s="283"/>
      <c r="H161" s="286"/>
      <c r="I161" s="283"/>
      <c r="J161" s="284"/>
      <c r="K161" s="140"/>
      <c r="L161" s="171"/>
      <c r="M161" s="140"/>
      <c r="N161" s="140"/>
      <c r="O161" s="99"/>
      <c r="S161" s="227"/>
      <c r="T161" s="12"/>
      <c r="U161" s="227"/>
      <c r="V161" s="227"/>
    </row>
    <row r="162" spans="2:22">
      <c r="B162" s="121"/>
      <c r="C162" s="121"/>
      <c r="D162" s="99"/>
      <c r="E162" s="282"/>
      <c r="F162" s="171"/>
      <c r="G162" s="283"/>
      <c r="H162" s="286"/>
      <c r="I162" s="283"/>
      <c r="J162" s="284"/>
      <c r="K162" s="140"/>
      <c r="L162" s="171"/>
      <c r="M162" s="140"/>
      <c r="N162" s="140"/>
      <c r="O162" s="99"/>
      <c r="S162" s="227"/>
      <c r="T162" s="227"/>
      <c r="U162" s="227"/>
      <c r="V162" s="12"/>
    </row>
    <row r="163" spans="2:22">
      <c r="B163" s="121"/>
      <c r="C163" s="121"/>
      <c r="D163" s="99"/>
      <c r="E163" s="282"/>
      <c r="F163" s="171"/>
      <c r="G163" s="283"/>
      <c r="H163" s="286"/>
      <c r="I163" s="283"/>
      <c r="J163" s="284"/>
      <c r="K163" s="140"/>
      <c r="L163" s="171"/>
      <c r="M163" s="140"/>
      <c r="N163" s="140"/>
      <c r="O163" s="99"/>
      <c r="U163" s="227"/>
      <c r="V163" s="227"/>
    </row>
    <row r="164" spans="2:22">
      <c r="B164" s="121"/>
      <c r="C164" s="121"/>
      <c r="D164" s="99"/>
      <c r="E164" s="282"/>
      <c r="F164" s="99"/>
      <c r="G164" s="99"/>
      <c r="H164" s="286"/>
      <c r="I164" s="286"/>
      <c r="J164" s="99"/>
      <c r="K164" s="598"/>
      <c r="L164" s="171"/>
      <c r="M164" s="99"/>
      <c r="N164" s="140"/>
      <c r="O164" s="99"/>
      <c r="S164" s="227"/>
      <c r="T164" s="227"/>
      <c r="U164" s="227"/>
      <c r="V164" s="12"/>
    </row>
    <row r="165" spans="2:22">
      <c r="B165" s="121"/>
      <c r="C165" s="121"/>
      <c r="D165" s="99"/>
      <c r="E165" s="282"/>
      <c r="F165" s="171"/>
      <c r="G165" s="283"/>
      <c r="H165" s="286"/>
      <c r="I165" s="283"/>
      <c r="J165" s="284"/>
      <c r="K165" s="140"/>
      <c r="L165" s="171"/>
      <c r="M165" s="140"/>
      <c r="N165" s="140"/>
      <c r="O165" s="99"/>
      <c r="U165" s="227"/>
      <c r="V165" s="12"/>
    </row>
    <row r="166" spans="2:22">
      <c r="B166" s="121"/>
      <c r="C166" s="121"/>
      <c r="D166" s="99"/>
      <c r="E166" s="282"/>
      <c r="F166" s="99"/>
      <c r="G166" s="99"/>
      <c r="H166" s="286"/>
      <c r="I166" s="286"/>
      <c r="J166" s="99"/>
      <c r="K166" s="598"/>
      <c r="L166" s="171"/>
      <c r="M166" s="598"/>
      <c r="N166" s="140"/>
      <c r="O166" s="99"/>
      <c r="S166" s="12"/>
      <c r="T166" s="12"/>
      <c r="U166" s="227"/>
      <c r="V166" s="12"/>
    </row>
    <row r="167" spans="2:22">
      <c r="B167" s="121"/>
      <c r="C167" s="121"/>
      <c r="D167" s="99"/>
      <c r="E167" s="282"/>
      <c r="F167" s="171"/>
      <c r="G167" s="283"/>
      <c r="H167" s="286"/>
      <c r="I167" s="283"/>
      <c r="J167" s="284"/>
      <c r="K167" s="140"/>
      <c r="L167" s="171"/>
      <c r="M167" s="140"/>
      <c r="N167" s="140"/>
      <c r="O167" s="99"/>
      <c r="S167" s="227"/>
      <c r="T167" s="227"/>
      <c r="U167" s="227"/>
      <c r="V167" s="227"/>
    </row>
    <row r="168" spans="2:22">
      <c r="B168" s="121"/>
      <c r="C168" s="121"/>
      <c r="D168" s="99"/>
      <c r="E168" s="282"/>
      <c r="F168" s="171"/>
      <c r="G168" s="283"/>
      <c r="H168" s="286"/>
      <c r="I168" s="283"/>
      <c r="J168" s="284"/>
      <c r="K168" s="140"/>
      <c r="L168" s="171"/>
      <c r="M168" s="140"/>
      <c r="N168" s="140"/>
      <c r="O168" s="99"/>
      <c r="S168" s="12"/>
      <c r="T168" s="227"/>
      <c r="U168" s="227"/>
      <c r="V168" s="12"/>
    </row>
    <row r="169" spans="2:22">
      <c r="B169" s="121"/>
      <c r="C169" s="121"/>
      <c r="D169" s="99"/>
      <c r="E169" s="282"/>
      <c r="F169" s="171"/>
      <c r="G169" s="283"/>
      <c r="H169" s="286"/>
      <c r="I169" s="283"/>
      <c r="J169" s="284"/>
      <c r="K169" s="140"/>
      <c r="L169" s="171"/>
      <c r="M169" s="140"/>
      <c r="N169" s="140"/>
      <c r="O169" s="99"/>
      <c r="S169" s="227"/>
      <c r="T169" s="227"/>
      <c r="U169" s="227"/>
      <c r="V169" s="227"/>
    </row>
    <row r="170" spans="2:22">
      <c r="B170" s="121"/>
      <c r="C170" s="121"/>
      <c r="D170" s="99"/>
      <c r="E170" s="282"/>
      <c r="F170" s="171"/>
      <c r="G170" s="283"/>
      <c r="H170" s="286"/>
      <c r="I170" s="283"/>
      <c r="J170" s="284"/>
      <c r="K170" s="140"/>
      <c r="L170" s="171"/>
      <c r="M170" s="140"/>
      <c r="N170" s="140"/>
      <c r="O170" s="99"/>
      <c r="S170" s="227"/>
      <c r="T170" s="227"/>
      <c r="U170" s="227"/>
      <c r="V170" s="227"/>
    </row>
    <row r="171" spans="2:22">
      <c r="B171" s="121"/>
      <c r="C171" s="121"/>
      <c r="D171" s="99"/>
      <c r="E171" s="282"/>
      <c r="F171" s="171"/>
      <c r="G171" s="283"/>
      <c r="H171" s="286"/>
      <c r="I171" s="283"/>
      <c r="J171" s="284"/>
      <c r="K171" s="140"/>
      <c r="L171" s="171"/>
      <c r="M171" s="140"/>
      <c r="N171" s="140"/>
      <c r="O171" s="99"/>
      <c r="S171" s="12"/>
      <c r="U171" s="12"/>
      <c r="V171" s="12"/>
    </row>
    <row r="172" spans="2:22">
      <c r="B172" s="121"/>
      <c r="C172" s="121"/>
      <c r="D172" s="99"/>
      <c r="E172" s="282"/>
      <c r="F172" s="171"/>
      <c r="G172" s="283"/>
      <c r="H172" s="170"/>
      <c r="I172" s="283"/>
      <c r="J172" s="284"/>
      <c r="K172" s="140"/>
      <c r="L172" s="171"/>
      <c r="M172" s="140"/>
      <c r="N172" s="140"/>
      <c r="O172" s="99"/>
      <c r="S172" s="227"/>
      <c r="U172" s="227"/>
      <c r="V172" s="12"/>
    </row>
    <row r="173" spans="2:22">
      <c r="B173" s="121"/>
      <c r="C173" s="121"/>
      <c r="D173" s="99"/>
      <c r="E173" s="282"/>
      <c r="F173" s="171"/>
      <c r="G173" s="283"/>
      <c r="H173" s="170"/>
      <c r="I173" s="283"/>
      <c r="J173" s="284"/>
      <c r="K173" s="140"/>
      <c r="L173" s="171"/>
      <c r="M173" s="140"/>
      <c r="N173" s="140"/>
      <c r="O173" s="99"/>
      <c r="U173" s="227"/>
      <c r="V173" s="12"/>
    </row>
    <row r="174" spans="2:22">
      <c r="B174" s="121"/>
      <c r="C174" s="121"/>
      <c r="D174" s="99"/>
      <c r="E174" s="282"/>
      <c r="F174" s="171"/>
      <c r="G174" s="283"/>
      <c r="H174" s="170"/>
      <c r="I174" s="283"/>
      <c r="J174" s="284"/>
      <c r="K174" s="140"/>
      <c r="L174" s="171"/>
      <c r="M174" s="140"/>
      <c r="N174" s="140"/>
      <c r="O174" s="99"/>
      <c r="S174" s="227"/>
      <c r="U174" s="227"/>
      <c r="V174" s="12"/>
    </row>
    <row r="175" spans="2:22">
      <c r="B175" s="121"/>
      <c r="C175" s="121"/>
      <c r="D175" s="99"/>
      <c r="E175" s="282"/>
      <c r="F175" s="171"/>
      <c r="G175" s="283"/>
      <c r="H175" s="170"/>
      <c r="I175" s="283"/>
      <c r="J175" s="284"/>
      <c r="K175" s="140"/>
      <c r="L175" s="171"/>
      <c r="M175" s="140"/>
      <c r="N175" s="140"/>
      <c r="O175" s="99"/>
      <c r="U175" s="227"/>
      <c r="V175" s="227"/>
    </row>
    <row r="176" spans="2:22">
      <c r="B176" s="121"/>
      <c r="C176" s="121"/>
      <c r="D176" s="99"/>
      <c r="E176" s="282"/>
      <c r="F176" s="171"/>
      <c r="G176" s="283"/>
      <c r="H176" s="170"/>
      <c r="I176" s="283"/>
      <c r="J176" s="284"/>
      <c r="K176" s="140"/>
      <c r="L176" s="171"/>
      <c r="M176" s="140"/>
      <c r="N176" s="140"/>
      <c r="O176" s="99"/>
      <c r="U176" s="227"/>
      <c r="V176" s="227"/>
    </row>
    <row r="177" spans="2:22">
      <c r="B177" s="121"/>
      <c r="C177" s="121"/>
      <c r="D177" s="99"/>
      <c r="E177" s="282"/>
      <c r="F177" s="171"/>
      <c r="G177" s="283"/>
      <c r="H177" s="170"/>
      <c r="I177" s="283"/>
      <c r="J177" s="284"/>
      <c r="K177" s="140"/>
      <c r="L177" s="171"/>
      <c r="M177" s="140"/>
      <c r="N177" s="140"/>
      <c r="O177" s="99"/>
      <c r="U177" s="227"/>
      <c r="V177" s="227"/>
    </row>
    <row r="178" spans="2:22">
      <c r="B178" s="121"/>
      <c r="C178" s="121"/>
      <c r="D178" s="99"/>
      <c r="E178" s="282"/>
      <c r="F178" s="171"/>
      <c r="G178" s="283"/>
      <c r="H178" s="170"/>
      <c r="I178" s="283"/>
      <c r="J178" s="284"/>
      <c r="K178" s="140"/>
      <c r="L178" s="171"/>
      <c r="M178" s="140"/>
      <c r="N178" s="140"/>
      <c r="O178" s="99"/>
      <c r="U178" s="227"/>
      <c r="V178" s="12"/>
    </row>
    <row r="179" spans="2:22">
      <c r="B179" s="121"/>
      <c r="C179" s="121"/>
      <c r="D179" s="99"/>
      <c r="E179" s="282"/>
      <c r="F179" s="171"/>
      <c r="G179" s="283"/>
      <c r="H179" s="170"/>
      <c r="I179" s="283"/>
      <c r="J179" s="284"/>
      <c r="K179" s="140"/>
      <c r="L179" s="171"/>
      <c r="M179" s="140"/>
      <c r="N179" s="140"/>
      <c r="O179" s="99"/>
      <c r="U179" s="227"/>
      <c r="V179" s="12"/>
    </row>
    <row r="180" spans="2:22">
      <c r="B180" s="121"/>
      <c r="C180" s="121"/>
      <c r="D180" s="99"/>
      <c r="E180" s="282"/>
      <c r="F180" s="99"/>
      <c r="G180" s="99"/>
      <c r="H180" s="99"/>
      <c r="I180" s="99"/>
      <c r="J180" s="99"/>
      <c r="K180" s="598"/>
      <c r="L180" s="171"/>
      <c r="M180" s="598"/>
      <c r="N180" s="140"/>
      <c r="O180" s="99"/>
      <c r="U180" s="227"/>
      <c r="V180" s="227"/>
    </row>
    <row r="181" spans="2:22">
      <c r="B181" s="121"/>
      <c r="C181" s="121"/>
      <c r="D181" s="99"/>
      <c r="E181" s="282"/>
      <c r="F181" s="171"/>
      <c r="G181" s="283"/>
      <c r="H181" s="170"/>
      <c r="I181" s="283"/>
      <c r="J181" s="284"/>
      <c r="K181" s="140"/>
      <c r="L181" s="171"/>
      <c r="M181" s="140"/>
      <c r="N181" s="140"/>
      <c r="O181" s="99"/>
      <c r="U181" s="227"/>
      <c r="V181" s="227"/>
    </row>
    <row r="182" spans="2:22">
      <c r="B182" s="121"/>
      <c r="C182" s="121"/>
      <c r="D182" s="99"/>
      <c r="E182" s="282"/>
      <c r="F182" s="171"/>
      <c r="G182" s="283"/>
      <c r="H182" s="170"/>
      <c r="I182" s="283"/>
      <c r="J182" s="284"/>
      <c r="K182" s="140"/>
      <c r="L182" s="171"/>
      <c r="M182" s="140"/>
      <c r="N182" s="140"/>
      <c r="O182" s="99"/>
      <c r="U182" s="227"/>
      <c r="V182" s="227"/>
    </row>
    <row r="183" spans="2:22">
      <c r="B183" s="121"/>
      <c r="C183" s="121"/>
      <c r="D183" s="99"/>
      <c r="E183" s="282"/>
      <c r="F183" s="171"/>
      <c r="G183" s="283"/>
      <c r="H183" s="170"/>
      <c r="I183" s="283"/>
      <c r="J183" s="284"/>
      <c r="K183" s="140"/>
      <c r="L183" s="171"/>
      <c r="M183" s="140"/>
      <c r="N183" s="140"/>
      <c r="O183" s="99"/>
      <c r="U183" s="227"/>
      <c r="V183" s="12"/>
    </row>
    <row r="184" spans="2:22">
      <c r="B184" s="121"/>
      <c r="C184" s="121"/>
      <c r="D184" s="99"/>
      <c r="E184" s="282"/>
      <c r="F184" s="171"/>
      <c r="G184" s="283"/>
      <c r="H184" s="170"/>
      <c r="I184" s="283"/>
      <c r="J184" s="284"/>
      <c r="K184" s="140"/>
      <c r="L184" s="171"/>
      <c r="M184" s="140"/>
      <c r="N184" s="140"/>
      <c r="O184" s="99"/>
    </row>
    <row r="185" spans="2:22">
      <c r="B185" s="121"/>
      <c r="C185" s="121"/>
      <c r="D185" s="99"/>
      <c r="E185" s="282"/>
      <c r="F185" s="99"/>
      <c r="G185" s="99"/>
      <c r="H185" s="99"/>
      <c r="I185" s="99"/>
      <c r="J185" s="99"/>
      <c r="K185" s="598"/>
      <c r="L185" s="598"/>
      <c r="M185" s="598"/>
      <c r="N185" s="598"/>
      <c r="O185" s="99"/>
      <c r="U185" s="227"/>
      <c r="V185" s="12"/>
    </row>
    <row r="186" spans="2:22">
      <c r="B186" s="121"/>
      <c r="C186" s="121"/>
      <c r="D186" s="99"/>
      <c r="E186" s="282"/>
      <c r="F186" s="171"/>
      <c r="G186" s="283"/>
      <c r="H186" s="170"/>
      <c r="I186" s="283"/>
      <c r="J186" s="284"/>
      <c r="K186" s="140"/>
      <c r="L186" s="171"/>
      <c r="M186" s="140"/>
      <c r="N186" s="140"/>
      <c r="O186" s="99"/>
      <c r="U186" s="227"/>
      <c r="V186" s="12"/>
    </row>
    <row r="187" spans="2:22">
      <c r="B187" s="121"/>
      <c r="C187" s="121"/>
      <c r="D187" s="99"/>
      <c r="E187" s="282"/>
      <c r="F187" s="171"/>
      <c r="G187" s="283"/>
      <c r="H187" s="170"/>
      <c r="I187" s="283"/>
      <c r="J187" s="284"/>
      <c r="K187" s="140"/>
      <c r="L187" s="171"/>
      <c r="M187" s="140"/>
      <c r="N187" s="140"/>
      <c r="O187" s="99"/>
      <c r="U187" s="227"/>
      <c r="V187" s="227"/>
    </row>
    <row r="188" spans="2:22">
      <c r="B188" s="121"/>
      <c r="C188" s="121"/>
      <c r="D188" s="99"/>
      <c r="E188" s="282"/>
      <c r="F188" s="171"/>
      <c r="G188" s="283"/>
      <c r="H188" s="170"/>
      <c r="I188" s="283"/>
      <c r="J188" s="284"/>
      <c r="K188" s="140"/>
      <c r="L188" s="171"/>
      <c r="M188" s="140"/>
      <c r="N188" s="140"/>
      <c r="O188" s="99"/>
      <c r="U188" s="227"/>
      <c r="V188" s="227"/>
    </row>
    <row r="189" spans="2:22">
      <c r="B189" s="121"/>
      <c r="C189" s="121"/>
      <c r="D189" s="99"/>
      <c r="E189" s="282"/>
      <c r="F189" s="171"/>
      <c r="G189" s="283"/>
      <c r="H189" s="170"/>
      <c r="I189" s="283"/>
      <c r="J189" s="284"/>
      <c r="K189" s="140"/>
      <c r="L189" s="171"/>
      <c r="M189" s="140"/>
      <c r="N189" s="140"/>
      <c r="O189" s="99"/>
      <c r="U189" s="227"/>
      <c r="V189" s="12"/>
    </row>
    <row r="190" spans="2:22">
      <c r="B190" s="121"/>
      <c r="C190" s="121"/>
      <c r="D190" s="99"/>
      <c r="E190" s="282"/>
      <c r="F190" s="171"/>
      <c r="G190" s="283"/>
      <c r="H190" s="170"/>
      <c r="I190" s="283"/>
      <c r="J190" s="284"/>
      <c r="K190" s="140"/>
      <c r="L190" s="171"/>
      <c r="M190" s="140"/>
      <c r="N190" s="140"/>
      <c r="O190" s="99"/>
      <c r="U190" s="227"/>
      <c r="V190" s="12"/>
    </row>
    <row r="191" spans="2:22">
      <c r="B191" s="121"/>
      <c r="C191" s="121"/>
      <c r="D191" s="99"/>
      <c r="E191" s="282"/>
      <c r="F191" s="171"/>
      <c r="G191" s="283"/>
      <c r="H191" s="170"/>
      <c r="I191" s="283"/>
      <c r="J191" s="284"/>
      <c r="K191" s="140"/>
      <c r="L191" s="171"/>
      <c r="M191" s="140"/>
      <c r="N191" s="140"/>
      <c r="O191" s="99"/>
      <c r="U191" s="227"/>
      <c r="V191" s="12"/>
    </row>
    <row r="192" spans="2:22">
      <c r="B192" s="121"/>
      <c r="C192" s="121"/>
      <c r="D192" s="99"/>
      <c r="E192" s="282"/>
      <c r="F192" s="171"/>
      <c r="G192" s="283"/>
      <c r="H192" s="170"/>
      <c r="I192" s="283"/>
      <c r="J192" s="284"/>
      <c r="K192" s="140"/>
      <c r="L192" s="171"/>
      <c r="M192" s="140"/>
      <c r="N192" s="140"/>
      <c r="O192" s="99"/>
      <c r="U192" s="227"/>
      <c r="V192" s="227"/>
    </row>
    <row r="193" spans="2:23">
      <c r="B193" s="121"/>
      <c r="C193" s="121"/>
      <c r="D193" s="99"/>
      <c r="E193" s="282"/>
      <c r="F193" s="171"/>
      <c r="G193" s="283"/>
      <c r="H193" s="170"/>
      <c r="I193" s="283"/>
      <c r="J193" s="284"/>
      <c r="K193" s="140"/>
      <c r="L193" s="171"/>
      <c r="M193" s="140"/>
      <c r="N193" s="140"/>
      <c r="O193" s="99"/>
    </row>
    <row r="194" spans="2:23">
      <c r="B194" s="121"/>
      <c r="C194" s="121"/>
      <c r="D194" s="99"/>
      <c r="E194" s="282"/>
      <c r="F194" s="99"/>
      <c r="G194" s="99"/>
      <c r="H194" s="99"/>
      <c r="I194" s="99"/>
      <c r="J194" s="99"/>
      <c r="K194" s="598"/>
      <c r="L194" s="598"/>
      <c r="M194" s="598"/>
      <c r="N194" s="598"/>
      <c r="O194" s="99"/>
      <c r="U194" s="227"/>
    </row>
    <row r="195" spans="2:23">
      <c r="B195" s="121"/>
      <c r="C195" s="121"/>
      <c r="D195" s="99"/>
      <c r="E195" s="282"/>
      <c r="F195" s="99"/>
      <c r="G195" s="99"/>
      <c r="H195" s="99"/>
      <c r="I195" s="99"/>
      <c r="J195" s="99"/>
      <c r="K195" s="598"/>
      <c r="L195" s="598"/>
      <c r="M195" s="598"/>
      <c r="N195" s="598"/>
      <c r="O195" s="99"/>
      <c r="U195" s="227"/>
      <c r="V195" s="227"/>
    </row>
    <row r="196" spans="2:23">
      <c r="B196" s="121"/>
      <c r="C196" s="121"/>
      <c r="D196" s="99"/>
      <c r="E196" s="282"/>
      <c r="F196" s="171"/>
      <c r="G196" s="283"/>
      <c r="H196" s="170"/>
      <c r="I196" s="283"/>
      <c r="J196" s="284"/>
      <c r="K196" s="140"/>
      <c r="L196" s="171"/>
      <c r="M196" s="140"/>
      <c r="N196" s="140"/>
      <c r="O196" s="99"/>
      <c r="U196" s="227"/>
      <c r="V196" s="227"/>
    </row>
    <row r="197" spans="2:23">
      <c r="B197" s="121"/>
      <c r="C197" s="121"/>
      <c r="D197" s="99"/>
      <c r="E197" s="282"/>
      <c r="F197" s="171"/>
      <c r="G197" s="283"/>
      <c r="H197" s="170"/>
      <c r="I197" s="283"/>
      <c r="J197" s="284"/>
      <c r="K197" s="140"/>
      <c r="L197" s="171"/>
      <c r="M197" s="140"/>
      <c r="N197" s="140"/>
      <c r="O197" s="99"/>
      <c r="U197" s="12"/>
      <c r="V197" s="12"/>
    </row>
    <row r="198" spans="2:23">
      <c r="B198" s="121"/>
      <c r="C198" s="121"/>
      <c r="D198" s="99"/>
      <c r="E198" s="282"/>
      <c r="F198" s="99"/>
      <c r="G198" s="99"/>
      <c r="H198" s="99"/>
      <c r="I198" s="99"/>
      <c r="J198" s="99"/>
      <c r="K198" s="598"/>
      <c r="L198" s="171"/>
      <c r="M198" s="598"/>
      <c r="N198" s="140"/>
      <c r="O198" s="99"/>
      <c r="U198" s="227"/>
    </row>
    <row r="199" spans="2:23">
      <c r="B199" s="121"/>
      <c r="C199" s="121"/>
      <c r="D199" s="99"/>
      <c r="E199" s="282"/>
      <c r="F199" s="99"/>
      <c r="G199" s="99"/>
      <c r="H199" s="99"/>
      <c r="I199" s="99"/>
      <c r="J199" s="99"/>
      <c r="K199" s="598"/>
      <c r="L199" s="598"/>
      <c r="M199" s="598"/>
      <c r="N199" s="598"/>
      <c r="O199" s="99"/>
      <c r="U199" s="227"/>
      <c r="V199" s="12"/>
    </row>
    <row r="200" spans="2:23">
      <c r="B200" s="121"/>
      <c r="C200" s="121"/>
      <c r="D200" s="99"/>
      <c r="E200" s="282"/>
      <c r="F200" s="171"/>
      <c r="G200" s="283"/>
      <c r="H200" s="170"/>
      <c r="I200" s="283"/>
      <c r="J200" s="284"/>
      <c r="K200" s="140"/>
      <c r="L200" s="171"/>
      <c r="M200" s="140"/>
      <c r="N200" s="140"/>
      <c r="O200" s="99"/>
      <c r="U200" s="12"/>
      <c r="V200" s="12"/>
    </row>
    <row r="201" spans="2:23">
      <c r="B201" s="121"/>
      <c r="C201" s="121"/>
      <c r="D201" s="99"/>
      <c r="E201" s="599"/>
      <c r="F201" s="99"/>
      <c r="G201" s="99"/>
      <c r="H201" s="99"/>
      <c r="I201" s="99"/>
      <c r="J201" s="99"/>
      <c r="K201" s="598"/>
      <c r="L201" s="171"/>
      <c r="M201" s="598"/>
      <c r="N201" s="140"/>
      <c r="O201" s="99"/>
      <c r="U201" s="227"/>
    </row>
    <row r="202" spans="2:23">
      <c r="B202" s="121"/>
      <c r="C202" s="121"/>
      <c r="D202" s="99"/>
      <c r="E202" s="599"/>
      <c r="F202" s="171"/>
      <c r="G202" s="99"/>
      <c r="H202" s="170"/>
      <c r="I202" s="99"/>
      <c r="J202" s="99"/>
      <c r="K202" s="598"/>
      <c r="L202" s="171"/>
      <c r="M202" s="598"/>
      <c r="N202" s="140"/>
      <c r="O202" s="99"/>
      <c r="U202" s="227"/>
      <c r="V202" s="12"/>
    </row>
    <row r="203" spans="2:23">
      <c r="B203" s="121"/>
      <c r="C203" s="121"/>
      <c r="D203" s="99"/>
      <c r="E203" s="599"/>
      <c r="F203" s="171"/>
      <c r="G203" s="99"/>
      <c r="H203" s="170"/>
      <c r="I203" s="99"/>
      <c r="J203" s="99"/>
      <c r="K203" s="598"/>
      <c r="L203" s="171"/>
      <c r="M203" s="598"/>
      <c r="N203" s="140"/>
      <c r="O203" s="99"/>
      <c r="U203" s="227"/>
      <c r="V203" s="12"/>
    </row>
    <row r="204" spans="2:23">
      <c r="E204" s="293"/>
      <c r="F204" s="171"/>
      <c r="G204" s="99"/>
      <c r="H204" s="170"/>
      <c r="I204" s="99"/>
      <c r="J204" s="99"/>
      <c r="K204" s="598"/>
      <c r="L204" s="171"/>
      <c r="M204" s="598"/>
      <c r="N204" s="140"/>
      <c r="O204" s="99"/>
    </row>
    <row r="205" spans="2:23">
      <c r="W205" s="2" t="str">
        <f>IF(COUNTIF($T$6:$T104, $T104)&gt;1, "Duplicate", "")</f>
        <v/>
      </c>
    </row>
    <row r="206" spans="2:23">
      <c r="W206" s="2" t="str">
        <f>IF(COUNTIF($T$6:$T105, $T105)&gt;1, "Duplicate", "")</f>
        <v/>
      </c>
    </row>
    <row r="207" spans="2:23">
      <c r="W207" s="2" t="str">
        <f>IF(COUNTIF($T$6:$T106, $T106)&gt;1, "Duplicate", "")</f>
        <v/>
      </c>
    </row>
    <row r="208" spans="2:23">
      <c r="W208" s="2" t="str">
        <f>IF(COUNTIF($T$6:$T107, $T107)&gt;1, "Duplicate", "")</f>
        <v/>
      </c>
    </row>
    <row r="210" spans="23:23">
      <c r="W210" s="2" t="str">
        <f>IF(COUNTIF($T$6:$T108, $T108)&gt;1, "Duplicate", "")</f>
        <v/>
      </c>
    </row>
    <row r="211" spans="23:23">
      <c r="W211" s="2" t="str">
        <f>IF(COUNTIF($T$6:$T109, $T109)&gt;1, "Duplicate", "")</f>
        <v/>
      </c>
    </row>
    <row r="213" spans="23:23">
      <c r="W213" s="2" t="str">
        <f>IF(COUNTIF($T$6:$T110, $T110)&gt;1, "Duplicate", "")</f>
        <v/>
      </c>
    </row>
    <row r="215" spans="23:23">
      <c r="W215" s="2" t="str">
        <f>IF(COUNTIF($T$6:$T111, $T111)&gt;1, "Duplicate", "")</f>
        <v/>
      </c>
    </row>
    <row r="216" spans="23:23">
      <c r="W216" s="2" t="str">
        <f>IF(COUNTIF($T$6:$T112, $T112)&gt;1, "Duplicate", "")</f>
        <v/>
      </c>
    </row>
    <row r="224" spans="23:23">
      <c r="W224" s="2" t="str">
        <f>IF(COUNTIF($T$6:$T113, $T113)&gt;1, "Duplicate", "")</f>
        <v/>
      </c>
    </row>
    <row r="225" spans="23:23">
      <c r="W225" s="2" t="str">
        <f>IF(COUNTIF($T$6:$T114, $T114)&gt;1, "Duplicate", "")</f>
        <v/>
      </c>
    </row>
    <row r="230" spans="23:23">
      <c r="W230" s="2" t="str">
        <f>IF(COUNTIF($T$6:$T115, $T115)&gt;1, "Duplicate", "")</f>
        <v/>
      </c>
    </row>
    <row r="232" spans="23:23">
      <c r="W232" s="2" t="str">
        <f>IF(COUNTIF($T$6:$T116, $T116)&gt;1, "Duplicate", "")</f>
        <v/>
      </c>
    </row>
    <row r="233" spans="23:23">
      <c r="W233" s="2" t="str">
        <f>IF(COUNTIF($T$6:$T117, $T117)&gt;1, "Duplicate", "")</f>
        <v/>
      </c>
    </row>
    <row r="234" spans="23:23">
      <c r="W234" s="2" t="str">
        <f>IF(COUNTIF($T$6:$T118, $T118)&gt;1, "Duplicate", "")</f>
        <v/>
      </c>
    </row>
    <row r="235" spans="23:23">
      <c r="W235" s="2" t="str">
        <f>IF(COUNTIF($T$6:$T119, $T119)&gt;1, "Duplicate", "")</f>
        <v/>
      </c>
    </row>
    <row r="238" spans="23:23">
      <c r="W238" s="2" t="str">
        <f>IF(COUNTIF($T$6:$T120, $T120)&gt;1, "Duplicate", "")</f>
        <v/>
      </c>
    </row>
    <row r="243" spans="23:23">
      <c r="W243" s="2" t="str">
        <f>IF(COUNTIF($T$6:$T121, $T121)&gt;1, "Duplicate", "")</f>
        <v/>
      </c>
    </row>
    <row r="246" spans="23:23">
      <c r="W246" s="2" t="str">
        <f>IF(COUNTIF($T$6:$T122, $T122)&gt;1, "Duplicate", "")</f>
        <v/>
      </c>
    </row>
    <row r="247" spans="23:23">
      <c r="W247" s="2" t="str">
        <f>IF(COUNTIF($T$6:$T123, $T123)&gt;1, "Duplicate", "")</f>
        <v/>
      </c>
    </row>
    <row r="248" spans="23:23">
      <c r="W248" s="2" t="str">
        <f>IF(COUNTIF($T$6:$T124, $T124)&gt;1, "Duplicate", "")</f>
        <v/>
      </c>
    </row>
    <row r="250" spans="23:23">
      <c r="W250" s="2" t="str">
        <f>IF(COUNTIF($T$6:$T125, $T125)&gt;1, "Duplicate", "")</f>
        <v/>
      </c>
    </row>
    <row r="251" spans="23:23">
      <c r="W251" s="2" t="str">
        <f>IF(COUNTIF($T$6:$T126, $T126)&gt;1, "Duplicate", "")</f>
        <v/>
      </c>
    </row>
    <row r="253" spans="23:23">
      <c r="W253" s="2" t="str">
        <f>IF(COUNTIF($T$6:$T127, $T127)&gt;1, "Duplicate", "")</f>
        <v/>
      </c>
    </row>
    <row r="254" spans="23:23">
      <c r="W254" s="2" t="str">
        <f>IF(COUNTIF($T$6:$T128, $T128)&gt;1, "Duplicate", "")</f>
        <v/>
      </c>
    </row>
    <row r="256" spans="23:23">
      <c r="W256" s="2" t="str">
        <f>IF(COUNTIF($T$6:$T129, $T129)&gt;1, "Duplicate", "")</f>
        <v/>
      </c>
    </row>
    <row r="257" spans="23:23">
      <c r="W257" s="2" t="str">
        <f>IF(COUNTIF($T$6:$T130, $T130)&gt;1, "Duplicate", "")</f>
        <v/>
      </c>
    </row>
    <row r="266" spans="23:23">
      <c r="W266" s="2" t="str">
        <f>IF(COUNTIF($T$6:$T131, $T131)&gt;1, "Duplicate", "")</f>
        <v/>
      </c>
    </row>
    <row r="267" spans="23:23">
      <c r="W267" s="2" t="str">
        <f>IF(COUNTIF($T$6:$T132, $T132)&gt;1, "Duplicate", "")</f>
        <v/>
      </c>
    </row>
    <row r="270" spans="23:23">
      <c r="W270" s="2" t="str">
        <f>IF(COUNTIF($T$6:$T133, $T133)&gt;1, "Duplicate", "")</f>
        <v/>
      </c>
    </row>
    <row r="278" spans="23:23">
      <c r="W278" s="2" t="str">
        <f>IF(COUNTIF($T$6:$T134, $T134)&gt;1, "Duplicate", "")</f>
        <v/>
      </c>
    </row>
    <row r="280" spans="23:23">
      <c r="W280" s="2" t="str">
        <f>IF(COUNTIF($T$6:$T135, $T135)&gt;1, "Duplicate", "")</f>
        <v/>
      </c>
    </row>
    <row r="281" spans="23:23">
      <c r="W281" s="2" t="str">
        <f>IF(COUNTIF($T$6:$T136, $T136)&gt;1, "Duplicate", "")</f>
        <v/>
      </c>
    </row>
    <row r="282" spans="23:23">
      <c r="W282" s="2" t="str">
        <f>IF(COUNTIF($T$6:$T137, $T137)&gt;1, "Duplicate", "")</f>
        <v/>
      </c>
    </row>
    <row r="283" spans="23:23">
      <c r="W283" s="2" t="str">
        <f>IF(COUNTIF($T$6:$T138, $T138)&gt;1, "Duplicate", "")</f>
        <v/>
      </c>
    </row>
    <row r="286" spans="23:23">
      <c r="W286" s="2" t="str">
        <f>IF(COUNTIF($T$6:$T139, $T139)&gt;1, "Duplicate", "")</f>
        <v/>
      </c>
    </row>
    <row r="287" spans="23:23">
      <c r="W287" s="2" t="str">
        <f>IF(COUNTIF($T$6:$T140, $T140)&gt;1, "Duplicate", "")</f>
        <v/>
      </c>
    </row>
    <row r="288" spans="23:23">
      <c r="W288" s="2" t="str">
        <f>IF(COUNTIF($T$6:$T141, $T141)&gt;1, "Duplicate", "")</f>
        <v/>
      </c>
    </row>
    <row r="290" spans="23:23">
      <c r="W290" s="2" t="str">
        <f>IF(COUNTIF($T$6:$T142, $T142)&gt;1, "Duplicate", "")</f>
        <v/>
      </c>
    </row>
    <row r="292" spans="23:23">
      <c r="W292" s="2" t="str">
        <f>IF(COUNTIF($T$6:$T143, $T143)&gt;1, "Duplicate", "")</f>
        <v/>
      </c>
    </row>
    <row r="293" spans="23:23">
      <c r="W293" s="2" t="str">
        <f>IF(COUNTIF($T$6:$T144, $T144)&gt;1, "Duplicate", "")</f>
        <v/>
      </c>
    </row>
    <row r="294" spans="23:23">
      <c r="W294" s="2" t="str">
        <f>IF(COUNTIF($T$6:$T145, $T145)&gt;1, "Duplicate", "")</f>
        <v/>
      </c>
    </row>
    <row r="299" spans="23:23">
      <c r="W299" s="2" t="str">
        <f>IF(COUNTIF($T$6:$T146, $T146)&gt;1, "Duplicate", "")</f>
        <v/>
      </c>
    </row>
    <row r="300" spans="23:23">
      <c r="W300" s="2" t="str">
        <f>IF(COUNTIF($T$6:$T147, $T147)&gt;1, "Duplicate", "")</f>
        <v/>
      </c>
    </row>
    <row r="303" spans="23:23">
      <c r="W303" s="2" t="str">
        <f>IF(COUNTIF($T$6:$T148, $T148)&gt;1, "Duplicate", "")</f>
        <v/>
      </c>
    </row>
    <row r="304" spans="23:23">
      <c r="W304" s="2" t="str">
        <f>IF(COUNTIF($T$6:$T149, $T149)&gt;1, "Duplicate", "")</f>
        <v/>
      </c>
    </row>
    <row r="307" spans="23:23">
      <c r="W307" s="2" t="str">
        <f>IF(COUNTIF($T$6:$T150, $T150)&gt;1, "Duplicate", "")</f>
        <v/>
      </c>
    </row>
    <row r="308" spans="23:23">
      <c r="W308" s="2" t="str">
        <f>IF(COUNTIF($T$6:$T151, $T151)&gt;1, "Duplicate", "")</f>
        <v/>
      </c>
    </row>
    <row r="312" spans="23:23">
      <c r="W312" s="2" t="str">
        <f>IF(COUNTIF($T$6:$T152, $T152)&gt;1, "Duplicate", "")</f>
        <v/>
      </c>
    </row>
    <row r="314" spans="23:23">
      <c r="W314" s="2" t="str">
        <f>IF(COUNTIF($T$6:$T153, $T153)&gt;1, "Duplicate", "")</f>
        <v/>
      </c>
    </row>
    <row r="315" spans="23:23">
      <c r="W315" s="2" t="str">
        <f>IF(COUNTIF($T$6:$T154, $T154)&gt;1, "Duplicate", "")</f>
        <v/>
      </c>
    </row>
    <row r="318" spans="23:23">
      <c r="W318" s="2" t="str">
        <f>IF(COUNTIF($T$6:$T155, $T155)&gt;1, "Duplicate", "")</f>
        <v/>
      </c>
    </row>
    <row r="319" spans="23:23">
      <c r="W319" s="2" t="str">
        <f>IF(COUNTIF($T$6:$T156, $T156)&gt;1, "Duplicate", "")</f>
        <v/>
      </c>
    </row>
    <row r="320" spans="23:23">
      <c r="W320" s="2" t="str">
        <f>IF(COUNTIF($T$6:$T157, $T157)&gt;1, "Duplicate", "")</f>
        <v/>
      </c>
    </row>
    <row r="321" spans="23:23">
      <c r="W321" s="2" t="str">
        <f>IF(COUNTIF($T$6:$T158, $T158)&gt;1, "Duplicate", "")</f>
        <v/>
      </c>
    </row>
    <row r="324" spans="23:23">
      <c r="W324" s="2" t="str">
        <f>IF(COUNTIF($T$6:$T159, $T159)&gt;1, "Duplicate", "")</f>
        <v/>
      </c>
    </row>
    <row r="325" spans="23:23">
      <c r="W325" s="2" t="str">
        <f>IF(COUNTIF($T$6:$T160, $T160)&gt;1, "Duplicate", "")</f>
        <v/>
      </c>
    </row>
    <row r="326" spans="23:23">
      <c r="W326" s="2" t="str">
        <f>IF(COUNTIF($T$6:$T161, $T161)&gt;1, "Duplicate", "")</f>
        <v/>
      </c>
    </row>
    <row r="330" spans="23:23">
      <c r="W330" s="2" t="str">
        <f>IF(COUNTIF($T$6:$T162, $T162)&gt;1, "Duplicate", "")</f>
        <v/>
      </c>
    </row>
    <row r="331" spans="23:23">
      <c r="W331" s="2" t="str">
        <f>IF(COUNTIF($T$6:$T163, $T163)&gt;1, "Duplicate", "")</f>
        <v/>
      </c>
    </row>
    <row r="333" spans="23:23">
      <c r="W333" s="2" t="str">
        <f>IF(COUNTIF($T$6:$T164, $T164)&gt;1, "Duplicate", "")</f>
        <v/>
      </c>
    </row>
    <row r="334" spans="23:23">
      <c r="W334" s="2" t="str">
        <f>IF(COUNTIF($T$6:$T165, $T165)&gt;1, "Duplicate", "")</f>
        <v/>
      </c>
    </row>
    <row r="335" spans="23:23">
      <c r="W335" s="2" t="str">
        <f>IF(COUNTIF($T$6:$T166, $T166)&gt;1, "Duplicate", "")</f>
        <v/>
      </c>
    </row>
    <row r="336" spans="23:23">
      <c r="W336" s="2" t="str">
        <f>IF(COUNTIF($T$6:$T167, $T167)&gt;1, "Duplicate", "")</f>
        <v/>
      </c>
    </row>
    <row r="337" spans="23:23">
      <c r="W337" s="2" t="str">
        <f>IF(COUNTIF($T$6:$T168, $T168)&gt;1, "Duplicate", "")</f>
        <v/>
      </c>
    </row>
    <row r="338" spans="23:23">
      <c r="W338" s="2" t="str">
        <f>IF(COUNTIF($T$6:$T169, $T169)&gt;1, "Duplicate", "")</f>
        <v/>
      </c>
    </row>
    <row r="339" spans="23:23">
      <c r="W339" s="2" t="str">
        <f>IF(COUNTIF($T$6:$T170, $T170)&gt;1, "Duplicate", "")</f>
        <v/>
      </c>
    </row>
    <row r="343" spans="23:23">
      <c r="W343" s="2" t="str">
        <f>IF(COUNTIF($T$6:$T171, $T171)&gt;1, "Duplicate", "")</f>
        <v/>
      </c>
    </row>
    <row r="344" spans="23:23">
      <c r="W344" s="2" t="str">
        <f>IF(COUNTIF($T$6:$T172, $T172)&gt;1, "Duplicate", "")</f>
        <v/>
      </c>
    </row>
    <row r="346" spans="23:23">
      <c r="W346" s="2" t="str">
        <f>IF(COUNTIF($T$6:$T173, $T173)&gt;1, "Duplicate", "")</f>
        <v/>
      </c>
    </row>
    <row r="348" spans="23:23">
      <c r="W348" s="2" t="str">
        <f>IF(COUNTIF($T$6:$T174, $T174)&gt;1, "Duplicate", "")</f>
        <v/>
      </c>
    </row>
    <row r="349" spans="23:23">
      <c r="W349" s="2" t="str">
        <f>IF(COUNTIF($T$6:$T175, $T175)&gt;1, "Duplicate", "")</f>
        <v/>
      </c>
    </row>
    <row r="351" spans="23:23">
      <c r="W351" s="2" t="str">
        <f>IF(COUNTIF($T$6:$T176, $T176)&gt;1, "Duplicate", "")</f>
        <v/>
      </c>
    </row>
    <row r="352" spans="23:23">
      <c r="W352" s="2" t="str">
        <f>IF(COUNTIF($T$6:$T177, $T177)&gt;1, "Duplicate", "")</f>
        <v/>
      </c>
    </row>
    <row r="354" spans="23:23">
      <c r="W354" s="2" t="str">
        <f>IF(COUNTIF($T$6:$T178, $T178)&gt;1, "Duplicate", "")</f>
        <v/>
      </c>
    </row>
    <row r="357" spans="23:23">
      <c r="W357" s="2" t="str">
        <f>IF(COUNTIF($T$6:$T179, $T179)&gt;1, "Duplicate", "")</f>
        <v/>
      </c>
    </row>
    <row r="359" spans="23:23">
      <c r="W359" s="2" t="str">
        <f>IF(COUNTIF($T$6:$T180, $T180)&gt;1, "Duplicate", "")</f>
        <v/>
      </c>
    </row>
    <row r="361" spans="23:23">
      <c r="W361" s="2" t="str">
        <f>IF(COUNTIF($T$6:$T181, $T181)&gt;1, "Duplicate", "")</f>
        <v/>
      </c>
    </row>
    <row r="362" spans="23:23">
      <c r="W362" s="2" t="str">
        <f>IF(COUNTIF($T$6:$T182, $T182)&gt;1, "Duplicate", "")</f>
        <v/>
      </c>
    </row>
    <row r="364" spans="23:23">
      <c r="W364" s="2" t="str">
        <f>IF(COUNTIF($T$6:$T183, $T183)&gt;1, "Duplicate", "")</f>
        <v/>
      </c>
    </row>
    <row r="365" spans="23:23">
      <c r="W365" s="2" t="str">
        <f>IF(COUNTIF($T$6:$T184, $T184)&gt;1, "Duplicate", "")</f>
        <v/>
      </c>
    </row>
    <row r="366" spans="23:23">
      <c r="W366" s="2" t="str">
        <f>IF(COUNTIF($T$6:$T185, $T185)&gt;1, "Duplicate", "")</f>
        <v/>
      </c>
    </row>
    <row r="367" spans="23:23">
      <c r="W367" s="2" t="str">
        <f>IF(COUNTIF($T$6:$T186, $T186)&gt;1, "Duplicate", "")</f>
        <v/>
      </c>
    </row>
    <row r="368" spans="23:23">
      <c r="W368" s="2" t="str">
        <f>IF(COUNTIF($T$6:$T187, $T187)&gt;1, "Duplicate", "")</f>
        <v/>
      </c>
    </row>
    <row r="369" spans="23:23">
      <c r="W369" s="2" t="str">
        <f>IF(COUNTIF($T$6:$T188, $T188)&gt;1, "Duplicate", "")</f>
        <v/>
      </c>
    </row>
    <row r="370" spans="23:23">
      <c r="W370" s="2" t="str">
        <f>IF(COUNTIF($T$6:$T189, $T189)&gt;1, "Duplicate", "")</f>
        <v/>
      </c>
    </row>
    <row r="371" spans="23:23">
      <c r="W371" s="2" t="str">
        <f>IF(COUNTIF($T$6:$T190, $T190)&gt;1, "Duplicate", "")</f>
        <v/>
      </c>
    </row>
    <row r="372" spans="23:23">
      <c r="W372" s="2" t="str">
        <f>IF(COUNTIF($T$6:$T191, $T191)&gt;1, "Duplicate", "")</f>
        <v/>
      </c>
    </row>
    <row r="373" spans="23:23">
      <c r="W373" s="2" t="str">
        <f>IF(COUNTIF($T$6:$T192, $T192)&gt;1, "Duplicate", "")</f>
        <v/>
      </c>
    </row>
    <row r="375" spans="23:23">
      <c r="W375" s="2" t="str">
        <f>IF(COUNTIF($T$6:$T193, $T193)&gt;1, "Duplicate", "")</f>
        <v/>
      </c>
    </row>
    <row r="376" spans="23:23">
      <c r="W376" s="2" t="str">
        <f>IF(COUNTIF($T$6:$T194, $T194)&gt;1, "Duplicate", "")</f>
        <v/>
      </c>
    </row>
    <row r="379" spans="23:23">
      <c r="W379" s="2" t="str">
        <f>IF(COUNTIF($T$6:$T195, $T195)&gt;1, "Duplicate", "")</f>
        <v/>
      </c>
    </row>
    <row r="380" spans="23:23">
      <c r="W380" s="2" t="str">
        <f>IF(COUNTIF($T$6:$T196, $T196)&gt;1, "Duplicate", "")</f>
        <v/>
      </c>
    </row>
    <row r="381" spans="23:23">
      <c r="W381" s="2" t="str">
        <f>IF(COUNTIF($T$6:$T197, $T197)&gt;1, "Duplicate", "")</f>
        <v/>
      </c>
    </row>
    <row r="382" spans="23:23">
      <c r="W382" s="2" t="str">
        <f>IF(COUNTIF($T$6:$T198, $T198)&gt;1, "Duplicate", "")</f>
        <v/>
      </c>
    </row>
    <row r="384" spans="23:23">
      <c r="W384" s="2" t="str">
        <f>IF(COUNTIF($T$6:$T199, $T199)&gt;1, "Duplicate", "")</f>
        <v/>
      </c>
    </row>
    <row r="385" spans="23:23">
      <c r="W385" s="2" t="str">
        <f>IF(COUNTIF($T$6:$T200, $T200)&gt;1, "Duplicate", "")</f>
        <v/>
      </c>
    </row>
    <row r="386" spans="23:23">
      <c r="W386" s="2" t="str">
        <f>IF(COUNTIF($T$6:$T201, $T201)&gt;1, "Duplicate", "")</f>
        <v/>
      </c>
    </row>
    <row r="389" spans="23:23">
      <c r="W389" s="2" t="str">
        <f>IF(COUNTIF($T$6:$T202, $T202)&gt;1, "Duplicate", "")</f>
        <v/>
      </c>
    </row>
    <row r="392" spans="23:23">
      <c r="W392" s="2" t="str">
        <f>IF(COUNTIF($T$6:$T203, $T203)&gt;1, "Duplicate", "")</f>
        <v/>
      </c>
    </row>
    <row r="393" spans="23:23">
      <c r="W393" s="2" t="str">
        <f>IF(COUNTIF($T$6:$T204, $T204)&gt;1, "Duplicate", "")</f>
        <v/>
      </c>
    </row>
    <row r="394" spans="23:23">
      <c r="W394" s="2" t="str">
        <f>IF(COUNTIF($T$6:$T205, $T205)&gt;1, "Duplicate", "")</f>
        <v/>
      </c>
    </row>
    <row r="396" spans="23:23">
      <c r="W396" s="2" t="str">
        <f>IF(COUNTIF($T$6:$T206, $T206)&gt;1, "Duplicate", "")</f>
        <v/>
      </c>
    </row>
    <row r="401" spans="23:23">
      <c r="W401" s="2" t="str">
        <f>IF(COUNTIF($T$6:$T207, $T207)&gt;1, "Duplicate", "")</f>
        <v/>
      </c>
    </row>
    <row r="403" spans="23:23">
      <c r="W403" s="2" t="str">
        <f>IF(COUNTIF($T$6:$T208, $T208)&gt;1, "Duplicate", "")</f>
        <v/>
      </c>
    </row>
    <row r="404" spans="23:23">
      <c r="W404" s="2" t="str">
        <f>IF(COUNTIF($T$6:$T209, $T209)&gt;1, "Duplicate", "")</f>
        <v/>
      </c>
    </row>
    <row r="406" spans="23:23">
      <c r="W406" s="2" t="str">
        <f>IF(COUNTIF($T$6:$T210, $T210)&gt;1, "Duplicate", "")</f>
        <v/>
      </c>
    </row>
    <row r="407" spans="23:23">
      <c r="W407" s="2" t="str">
        <f>IF(COUNTIF($T$6:$T211, $T211)&gt;1, "Duplicate", "")</f>
        <v/>
      </c>
    </row>
    <row r="408" spans="23:23">
      <c r="W408" s="2" t="str">
        <f>IF(COUNTIF($T$6:$T212, $T212)&gt;1, "Duplicate", "")</f>
        <v/>
      </c>
    </row>
    <row r="409" spans="23:23">
      <c r="W409" s="2" t="str">
        <f>IF(COUNTIF($T$6:$T213, $T213)&gt;1, "Duplicate", "")</f>
        <v/>
      </c>
    </row>
    <row r="411" spans="23:23">
      <c r="W411" s="2" t="str">
        <f>IF(COUNTIF($T$6:$T214, $T214)&gt;1, "Duplicate", "")</f>
        <v/>
      </c>
    </row>
    <row r="412" spans="23:23">
      <c r="W412" s="2" t="str">
        <f>IF(COUNTIF($T$6:$T215, $T215)&gt;1, "Duplicate", "")</f>
        <v/>
      </c>
    </row>
    <row r="414" spans="23:23">
      <c r="W414" s="2" t="str">
        <f>IF(COUNTIF($T$6:$T216, $T216)&gt;1, "Duplicate", "")</f>
        <v/>
      </c>
    </row>
    <row r="418" spans="23:23">
      <c r="W418" s="2" t="str">
        <f>IF(COUNTIF($T$6:$T217, $T217)&gt;1, "Duplicate", "")</f>
        <v/>
      </c>
    </row>
    <row r="424" spans="23:23">
      <c r="W424" s="2" t="str">
        <f>IF(COUNTIF($T$6:$T218, $T218)&gt;1, "Duplicate", "")</f>
        <v/>
      </c>
    </row>
    <row r="426" spans="23:23">
      <c r="W426" s="2" t="str">
        <f>IF(COUNTIF($T$6:$T219, $T219)&gt;1, "Duplicate", "")</f>
        <v/>
      </c>
    </row>
    <row r="429" spans="23:23">
      <c r="W429" s="2" t="str">
        <f>IF(COUNTIF($T$6:$T220, $T220)&gt;1, "Duplicate", "")</f>
        <v/>
      </c>
    </row>
    <row r="430" spans="23:23">
      <c r="W430" s="2" t="str">
        <f>IF(COUNTIF($T$6:$T221, $T221)&gt;1, "Duplicate", "")</f>
        <v/>
      </c>
    </row>
    <row r="431" spans="23:23">
      <c r="W431" s="2" t="str">
        <f>IF(COUNTIF($T$6:$T222, $T222)&gt;1, "Duplicate", "")</f>
        <v/>
      </c>
    </row>
    <row r="433" spans="23:23">
      <c r="W433" s="2" t="str">
        <f>IF(COUNTIF($T$6:$T223, $T223)&gt;1, "Duplicate", "")</f>
        <v/>
      </c>
    </row>
    <row r="434" spans="23:23">
      <c r="W434" s="2" t="str">
        <f>IF(COUNTIF($T$6:$T224, $T224)&gt;1, "Duplicate", "")</f>
        <v/>
      </c>
    </row>
    <row r="439" spans="23:23">
      <c r="W439" s="2" t="str">
        <f>IF(COUNTIF($T$6:$T225, $T225)&gt;1, "Duplicate", "")</f>
        <v/>
      </c>
    </row>
    <row r="440" spans="23:23">
      <c r="W440" s="2" t="str">
        <f>IF(COUNTIF($T$6:$T226, $T226)&gt;1, "Duplicate", "")</f>
        <v/>
      </c>
    </row>
    <row r="442" spans="23:23">
      <c r="W442" s="2" t="str">
        <f>IF(COUNTIF($T$6:$T227, $T227)&gt;1, "Duplicate", "")</f>
        <v/>
      </c>
    </row>
    <row r="443" spans="23:23">
      <c r="W443" s="2" t="str">
        <f>IF(COUNTIF($T$6:$T228, $T228)&gt;1, "Duplicate", "")</f>
        <v/>
      </c>
    </row>
    <row r="445" spans="23:23">
      <c r="W445" s="2" t="str">
        <f>IF(COUNTIF($T$6:$T229, $T229)&gt;1, "Duplicate", "")</f>
        <v/>
      </c>
    </row>
    <row r="447" spans="23:23">
      <c r="W447" s="2" t="str">
        <f>IF(COUNTIF($T$6:$T230, $T230)&gt;1, "Duplicate", "")</f>
        <v/>
      </c>
    </row>
    <row r="448" spans="23:23">
      <c r="W448" s="2" t="str">
        <f>IF(COUNTIF($T$6:$T231, $T231)&gt;1, "Duplicate", "")</f>
        <v/>
      </c>
    </row>
    <row r="451" spans="23:23">
      <c r="W451" s="2" t="str">
        <f>IF(COUNTIF($T$6:$T232, $T232)&gt;1, "Duplicate", "")</f>
        <v/>
      </c>
    </row>
    <row r="452" spans="23:23">
      <c r="W452" s="2" t="str">
        <f>IF(COUNTIF($T$6:$T233, $T233)&gt;1, "Duplicate", "")</f>
        <v/>
      </c>
    </row>
    <row r="454" spans="23:23">
      <c r="W454" s="2" t="str">
        <f>IF(COUNTIF($T$6:$T234, $T234)&gt;1, "Duplicate", "")</f>
        <v/>
      </c>
    </row>
    <row r="461" spans="23:23">
      <c r="W461" s="2" t="str">
        <f>IF(COUNTIF($T$6:$T235, $T235)&gt;1, "Duplicate", "")</f>
        <v/>
      </c>
    </row>
    <row r="462" spans="23:23">
      <c r="W462" s="2" t="str">
        <f>IF(COUNTIF($T$6:$T236, $T236)&gt;1, "Duplicate", "")</f>
        <v/>
      </c>
    </row>
    <row r="469" spans="23:23">
      <c r="W469" s="2" t="str">
        <f>IF(COUNTIF($T$6:$T237, $T237)&gt;1, "Duplicate", "")</f>
        <v/>
      </c>
    </row>
    <row r="470" spans="23:23">
      <c r="W470" s="2" t="str">
        <f>IF(COUNTIF($T$6:$T238, $T238)&gt;1, "Duplicate", "")</f>
        <v/>
      </c>
    </row>
    <row r="471" spans="23:23">
      <c r="W471" s="2" t="str">
        <f>IF(COUNTIF($T$6:$T239, $T239)&gt;1, "Duplicate", "")</f>
        <v/>
      </c>
    </row>
    <row r="474" spans="23:23">
      <c r="W474" s="2" t="str">
        <f>IF(COUNTIF($T$6:$T240, $T240)&gt;1, "Duplicate", "")</f>
        <v/>
      </c>
    </row>
    <row r="479" spans="23:23">
      <c r="W479" s="2" t="str">
        <f>IF(COUNTIF($T$6:$T241, $T241)&gt;1, "Duplicate", "")</f>
        <v/>
      </c>
    </row>
    <row r="480" spans="23:23">
      <c r="W480" s="2" t="str">
        <f>IF(COUNTIF($T$6:$T242, $T242)&gt;1, "Duplicate", "")</f>
        <v/>
      </c>
    </row>
    <row r="485" spans="23:23">
      <c r="W485" s="2" t="str">
        <f>IF(COUNTIF($T$6:$T243, $T243)&gt;1, "Duplicate", "")</f>
        <v/>
      </c>
    </row>
    <row r="486" spans="23:23">
      <c r="W486" s="2" t="str">
        <f>IF(COUNTIF($T$6:$T244, $T244)&gt;1, "Duplicate", "")</f>
        <v/>
      </c>
    </row>
    <row r="491" spans="23:23">
      <c r="W491" s="2" t="str">
        <f>IF(COUNTIF($T$6:$T245, $T245)&gt;1, "Duplicate", "")</f>
        <v/>
      </c>
    </row>
    <row r="500" spans="23:23">
      <c r="W500" s="2" t="str">
        <f>IF(COUNTIF($T$6:$T246, $T246)&gt;1, "Duplicate", "")</f>
        <v/>
      </c>
    </row>
    <row r="502" spans="23:23">
      <c r="W502" s="2" t="str">
        <f>IF(COUNTIF($T$6:$T247, $T247)&gt;1, "Duplicate", "")</f>
        <v/>
      </c>
    </row>
    <row r="503" spans="23:23">
      <c r="W503" s="2" t="str">
        <f>IF(COUNTIF($T$6:$T248, $T248)&gt;1, "Duplicate", "")</f>
        <v/>
      </c>
    </row>
    <row r="504" spans="23:23">
      <c r="W504" s="2" t="str">
        <f>IF(COUNTIF($T$6:$T249, $T249)&gt;1, "Duplicate", "")</f>
        <v/>
      </c>
    </row>
    <row r="516" spans="23:23">
      <c r="W516" s="2" t="str">
        <f>IF(COUNTIF($T$6:$T250, $T250)&gt;1, "Duplicate", "")</f>
        <v/>
      </c>
    </row>
    <row r="546" spans="23:23">
      <c r="W546" s="2" t="str">
        <f>IF(COUNTIF($T$6:$T251, $T251)&gt;1, "Duplicate", "")</f>
        <v/>
      </c>
    </row>
    <row r="549" spans="23:23">
      <c r="W549" s="2" t="str">
        <f>IF(COUNTIF($T$6:$T252, $T252)&gt;1, "Duplicate", "")</f>
        <v/>
      </c>
    </row>
    <row r="556" spans="23:23">
      <c r="W556" s="2" t="str">
        <f>IF(COUNTIF($T$6:$T253, $T253)&gt;1, "Duplicate", "")</f>
        <v/>
      </c>
    </row>
    <row r="561" spans="23:23">
      <c r="W561" s="2" t="str">
        <f>IF(COUNTIF($T$6:$T254, $T254)&gt;1, "Duplicate", "")</f>
        <v/>
      </c>
    </row>
    <row r="581" spans="23:23">
      <c r="W581" s="2" t="str">
        <f>IF(COUNTIF($T$6:$T255, $T255)&gt;1, "Duplicate", "")</f>
        <v/>
      </c>
    </row>
    <row r="622" spans="23:23">
      <c r="W622" s="2" t="str">
        <f>IF(COUNTIF($T$6:$T256, $T256)&gt;1, "Duplicate", "")</f>
        <v/>
      </c>
    </row>
    <row r="623" spans="23:23">
      <c r="W623" s="2" t="str">
        <f>IF(COUNTIF($T$6:$T257, $T257)&gt;1, "Duplicate", "")</f>
        <v/>
      </c>
    </row>
    <row r="624" spans="23:23">
      <c r="W624" s="2" t="str">
        <f>IF(COUNTIF($T$6:$T258, $T258)&gt;1, "Duplicate", "")</f>
        <v/>
      </c>
    </row>
    <row r="625" spans="23:23">
      <c r="W625" s="2" t="str">
        <f>IF(COUNTIF($T$6:$T259, $T259)&gt;1, "Duplicate", "")</f>
        <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7.5703125" style="2" bestFit="1" customWidth="1"/>
    <col min="3" max="3" width="19" style="2" bestFit="1" customWidth="1"/>
    <col min="4" max="4" width="6.85546875" style="2" customWidth="1"/>
    <col min="5" max="5" width="25.28515625" style="2" customWidth="1"/>
    <col min="6" max="6" width="12.7109375" style="2" customWidth="1"/>
    <col min="7" max="7" width="12.7109375" style="12" customWidth="1"/>
    <col min="8" max="10" width="12.7109375" style="2" customWidth="1"/>
    <col min="11" max="11" width="7.425781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5" t="s">
        <v>35</v>
      </c>
      <c r="E1" s="3"/>
      <c r="F1" s="3"/>
      <c r="G1" s="45"/>
      <c r="H1" s="3"/>
      <c r="I1" s="3"/>
      <c r="J1" s="3"/>
      <c r="K1" s="3"/>
      <c r="L1" s="3"/>
      <c r="M1" s="3"/>
      <c r="N1" s="3"/>
      <c r="O1" s="3"/>
      <c r="P1" s="3"/>
    </row>
    <row r="2" spans="2:16">
      <c r="M2" s="73"/>
      <c r="N2" s="73"/>
      <c r="O2" s="73"/>
      <c r="P2" s="73"/>
    </row>
    <row r="3" spans="2:16">
      <c r="B3" s="3" t="str">
        <f>"Sector of "&amp;Drivers!$C$10</f>
        <v>Sector of The Boeing Company</v>
      </c>
      <c r="C3" s="54" t="str">
        <f>Drivers!C13</f>
        <v>Industrials</v>
      </c>
      <c r="D3" s="18"/>
      <c r="E3" s="299" t="s">
        <v>355</v>
      </c>
      <c r="F3" s="299" t="s">
        <v>357</v>
      </c>
      <c r="G3" s="300" t="s">
        <v>123</v>
      </c>
      <c r="H3" s="300" t="s">
        <v>124</v>
      </c>
      <c r="I3" s="300" t="s">
        <v>354</v>
      </c>
      <c r="J3" s="301"/>
      <c r="K3" s="164"/>
      <c r="L3" s="161"/>
      <c r="M3" s="73"/>
      <c r="N3" s="73"/>
      <c r="O3" s="73"/>
    </row>
    <row r="4" spans="2:16" ht="12.75" thickBot="1">
      <c r="B4" s="3" t="str">
        <f>"Industry of "&amp;Drivers!C10</f>
        <v>Industry of The Boeing Company</v>
      </c>
      <c r="C4" s="128" t="str">
        <f>Drivers!C14</f>
        <v>Aerospace &amp; Defense</v>
      </c>
      <c r="D4" s="5"/>
      <c r="E4" s="305" t="s">
        <v>348</v>
      </c>
      <c r="F4" s="305"/>
      <c r="G4" s="306" t="s">
        <v>356</v>
      </c>
      <c r="H4" s="253"/>
      <c r="I4" s="305" t="s">
        <v>350</v>
      </c>
      <c r="J4" s="307" t="s">
        <v>122</v>
      </c>
      <c r="L4" s="161"/>
      <c r="M4" s="146"/>
      <c r="N4" s="47"/>
      <c r="O4" s="47"/>
    </row>
    <row r="5" spans="2:16">
      <c r="D5" s="5"/>
      <c r="E5" s="121" t="s">
        <v>687</v>
      </c>
      <c r="F5" s="303">
        <v>1.8350000000000002E-2</v>
      </c>
      <c r="G5" s="304">
        <v>46023</v>
      </c>
      <c r="H5" s="99">
        <f ca="1">YEARFRAC(TODAY(),G5)</f>
        <v>2.7055555555555557</v>
      </c>
      <c r="I5" s="446">
        <v>11846</v>
      </c>
      <c r="J5" s="63">
        <f>I5/$I$11</f>
        <v>0.20879895653400077</v>
      </c>
      <c r="K5" s="238"/>
      <c r="L5" s="161"/>
      <c r="M5" s="99"/>
      <c r="N5" s="162"/>
      <c r="O5" s="162"/>
    </row>
    <row r="6" spans="2:16">
      <c r="B6" s="250" t="s">
        <v>148</v>
      </c>
      <c r="C6" s="320">
        <f>'Beta Calculation Data'!D79</f>
        <v>1.01</v>
      </c>
      <c r="D6" s="20"/>
      <c r="E6" s="121" t="s">
        <v>688</v>
      </c>
      <c r="F6" s="303">
        <v>2.9000000000000001E-2</v>
      </c>
      <c r="G6" s="304">
        <v>47484</v>
      </c>
      <c r="H6" s="99">
        <f ca="1">YEARFRAC(TODAY(),G6)</f>
        <v>6.7055555555555557</v>
      </c>
      <c r="I6" s="446">
        <v>6412</v>
      </c>
      <c r="J6" s="63">
        <f t="shared" ref="J6:J10" si="0">I6/$I$11</f>
        <v>0.11301864842951316</v>
      </c>
      <c r="K6" s="206"/>
      <c r="L6" s="147"/>
      <c r="M6" s="99"/>
      <c r="N6" s="160"/>
      <c r="O6" s="160"/>
    </row>
    <row r="7" spans="2:16">
      <c r="B7" s="250" t="s">
        <v>149</v>
      </c>
      <c r="C7" s="320">
        <f>'Beta Calculation Data'!K79</f>
        <v>0.17932263814616756</v>
      </c>
      <c r="D7" s="5"/>
      <c r="E7" s="121" t="s">
        <v>689</v>
      </c>
      <c r="F7" s="303">
        <v>3.5749999999999997E-2</v>
      </c>
      <c r="G7" s="304">
        <v>58076</v>
      </c>
      <c r="H7" s="99">
        <f ca="1">YEARFRAC(TODAY(),G7)</f>
        <v>35.705555555555556</v>
      </c>
      <c r="I7" s="446">
        <v>9576</v>
      </c>
      <c r="J7" s="63">
        <f t="shared" si="0"/>
        <v>0.16878767582049564</v>
      </c>
      <c r="K7" s="238"/>
      <c r="M7" s="99"/>
      <c r="N7" s="127"/>
      <c r="O7" s="127"/>
    </row>
    <row r="8" spans="2:16">
      <c r="B8" s="250" t="s">
        <v>155</v>
      </c>
      <c r="C8" s="269">
        <f>'Risk Free Rate &amp; ERP'!H20</f>
        <v>0.22029957420656662</v>
      </c>
      <c r="D8" s="5"/>
      <c r="E8" s="121" t="s">
        <v>689</v>
      </c>
      <c r="F8" s="303">
        <v>4.5499999999999999E-2</v>
      </c>
      <c r="G8" s="304">
        <v>58076</v>
      </c>
      <c r="H8" s="99">
        <f t="shared" ref="H8:H10" ca="1" si="1">YEARFRAC(TODAY(),G8)</f>
        <v>35.705555555555556</v>
      </c>
      <c r="I8" s="446">
        <v>14035</v>
      </c>
      <c r="J8" s="63">
        <f t="shared" si="0"/>
        <v>0.24738252194451299</v>
      </c>
      <c r="L8" s="62"/>
      <c r="M8" s="99"/>
      <c r="N8" s="127"/>
      <c r="O8" s="127"/>
    </row>
    <row r="9" spans="2:16">
      <c r="B9" s="250" t="s">
        <v>111</v>
      </c>
      <c r="C9" s="320">
        <f>C6/(1+(C7*(1-C8)))</f>
        <v>0.88610642711716869</v>
      </c>
      <c r="D9" s="16"/>
      <c r="E9" s="121" t="s">
        <v>690</v>
      </c>
      <c r="F9" s="303">
        <v>6.1699999999999998E-2</v>
      </c>
      <c r="G9" s="304">
        <v>58441</v>
      </c>
      <c r="H9" s="99">
        <f t="shared" ca="1" si="1"/>
        <v>36.705555555555556</v>
      </c>
      <c r="I9" s="446">
        <v>13011</v>
      </c>
      <c r="J9" s="63">
        <f t="shared" si="0"/>
        <v>0.22933338033630626</v>
      </c>
      <c r="L9" s="147"/>
      <c r="M9" s="99"/>
      <c r="N9" s="127"/>
      <c r="O9" s="127"/>
    </row>
    <row r="10" spans="2:16">
      <c r="B10" s="250" t="s">
        <v>150</v>
      </c>
      <c r="C10" s="269">
        <f>'Beta Calculation Data'!J79</f>
        <v>5.747312211548837E-2</v>
      </c>
      <c r="D10" s="16"/>
      <c r="E10" s="121" t="s">
        <v>691</v>
      </c>
      <c r="F10" s="303">
        <v>7.8149999999999997E-2</v>
      </c>
      <c r="G10" s="304">
        <v>52232</v>
      </c>
      <c r="H10" s="99">
        <f t="shared" ca="1" si="1"/>
        <v>19.705555555555556</v>
      </c>
      <c r="I10" s="446">
        <v>1854</v>
      </c>
      <c r="J10" s="63">
        <f t="shared" si="0"/>
        <v>3.2678816935171148E-2</v>
      </c>
      <c r="L10" s="59"/>
      <c r="M10" s="99"/>
      <c r="N10" s="127"/>
      <c r="O10" s="127"/>
    </row>
    <row r="11" spans="2:16">
      <c r="B11" s="260" t="s">
        <v>308</v>
      </c>
      <c r="C11" s="322">
        <f>C9/(1-C10)</f>
        <v>0.94013915985719387</v>
      </c>
      <c r="D11" s="16"/>
      <c r="E11" s="308" t="s">
        <v>686</v>
      </c>
      <c r="F11" s="311">
        <f>(F5*J5)+(F6*J6)+(F7*J7)+(F8*J8)+(F9*J9)+(F10*J10)</f>
        <v>4.1102784926146572E-2</v>
      </c>
      <c r="G11" s="309"/>
      <c r="H11" s="310">
        <f ca="1">(H5*J5)+(H6*J6)+(H7*J7)+(H8*J8)+(H9*J9)+(H10*J10)</f>
        <v>25.244121494851214</v>
      </c>
      <c r="I11" s="447">
        <f>SUM(I5:I10)</f>
        <v>56734</v>
      </c>
      <c r="J11" s="311">
        <f>SUM(J5:J10)</f>
        <v>0.99999999999999989</v>
      </c>
      <c r="K11" s="237">
        <f>I11/$I$14</f>
        <v>0.99531587165137458</v>
      </c>
      <c r="L11" s="6"/>
      <c r="M11" s="99"/>
      <c r="N11" s="161"/>
      <c r="O11" s="161"/>
    </row>
    <row r="12" spans="2:16">
      <c r="D12" s="132"/>
      <c r="E12" s="121" t="s">
        <v>692</v>
      </c>
      <c r="F12" s="63">
        <v>4.1300000000000003E-2</v>
      </c>
      <c r="H12" s="99">
        <v>12</v>
      </c>
      <c r="I12" s="446">
        <v>206</v>
      </c>
      <c r="K12" s="237">
        <f>I12/$I$14</f>
        <v>3.6139716847072858E-3</v>
      </c>
      <c r="L12" s="6"/>
      <c r="M12" s="99"/>
      <c r="N12" s="161"/>
      <c r="O12" s="161"/>
    </row>
    <row r="13" spans="2:16">
      <c r="B13" s="250" t="s">
        <v>39</v>
      </c>
      <c r="C13" s="442">
        <f>Drivers!C16*Drivers!C17</f>
        <v>127249.11</v>
      </c>
      <c r="D13" s="5"/>
      <c r="E13" s="121" t="s">
        <v>693</v>
      </c>
      <c r="F13" s="603" t="s">
        <v>105</v>
      </c>
      <c r="H13" s="603" t="s">
        <v>105</v>
      </c>
      <c r="I13" s="446">
        <v>61</v>
      </c>
      <c r="K13" s="237">
        <f>I13/$I$14</f>
        <v>1.0701566639181768E-3</v>
      </c>
      <c r="L13" s="6"/>
      <c r="M13" s="99"/>
      <c r="N13" s="118"/>
      <c r="O13" s="118"/>
    </row>
    <row r="14" spans="2:16">
      <c r="B14" s="250" t="s">
        <v>37</v>
      </c>
      <c r="C14" s="443">
        <f ca="1">F23</f>
        <v>14301.676391903666</v>
      </c>
      <c r="D14" s="5"/>
      <c r="E14" s="312" t="s">
        <v>127</v>
      </c>
      <c r="F14" s="314">
        <f>(F11*K11)+(F12*(K12+K13))</f>
        <v>4.1103708706864785E-2</v>
      </c>
      <c r="G14" s="313"/>
      <c r="H14" s="315">
        <f ca="1">(H11*K11)+(H12*(K12+K13))</f>
        <v>25.182084329904544</v>
      </c>
      <c r="I14" s="448">
        <f>I11+I12+I13</f>
        <v>57001</v>
      </c>
      <c r="J14" s="314"/>
      <c r="K14" s="602">
        <f>SUM(K11:K13)</f>
        <v>1</v>
      </c>
      <c r="L14" s="6"/>
      <c r="M14" s="99"/>
      <c r="N14" s="161"/>
      <c r="O14" s="161"/>
    </row>
    <row r="15" spans="2:16">
      <c r="B15" s="250" t="s">
        <v>151</v>
      </c>
      <c r="C15" s="321">
        <f ca="1">C14/C13</f>
        <v>0.11239117029505091</v>
      </c>
      <c r="D15" s="5"/>
      <c r="G15" s="150"/>
      <c r="K15" s="6"/>
      <c r="L15" s="6"/>
      <c r="M15" s="99"/>
      <c r="N15" s="118"/>
      <c r="O15" s="118"/>
    </row>
    <row r="16" spans="2:16">
      <c r="B16" s="250" t="s">
        <v>300</v>
      </c>
      <c r="C16" s="269">
        <f ca="1">C15/(C15+1)</f>
        <v>0.10103565480948599</v>
      </c>
      <c r="D16" s="5"/>
      <c r="E16" s="302" t="s">
        <v>37</v>
      </c>
      <c r="F16" s="299"/>
      <c r="G16" s="150"/>
      <c r="L16" s="6"/>
      <c r="M16" s="99"/>
      <c r="N16" s="141"/>
      <c r="O16" s="141"/>
    </row>
    <row r="17" spans="2:15" ht="12.75" thickBot="1">
      <c r="D17" s="20"/>
      <c r="E17" s="316" t="str">
        <f>"in mil "&amp;Drivers!C5</f>
        <v>in mil $</v>
      </c>
      <c r="F17" s="253"/>
      <c r="G17" s="99"/>
      <c r="K17" s="6"/>
      <c r="L17" s="6"/>
      <c r="M17" s="99"/>
      <c r="N17" s="127"/>
      <c r="O17" s="127"/>
    </row>
    <row r="18" spans="2:15">
      <c r="B18" s="324" t="s">
        <v>139</v>
      </c>
      <c r="C18" s="322">
        <f ca="1">C11*(1+(C15*(1-C8)))</f>
        <v>1.0225249113707391</v>
      </c>
      <c r="D18" s="5"/>
      <c r="E18" s="339" t="s">
        <v>179</v>
      </c>
      <c r="F18" s="444">
        <f>I14</f>
        <v>57001</v>
      </c>
      <c r="K18" s="6"/>
      <c r="L18" s="62"/>
      <c r="M18" s="99"/>
      <c r="N18" s="99"/>
      <c r="O18" s="99"/>
    </row>
    <row r="19" spans="2:15">
      <c r="D19" s="5"/>
      <c r="E19" s="339" t="s">
        <v>333</v>
      </c>
      <c r="F19" s="444">
        <f>-'Income Statement'!G22</f>
        <v>2533</v>
      </c>
      <c r="I19" s="140"/>
      <c r="K19" s="6"/>
      <c r="L19" s="147"/>
      <c r="M19" s="99"/>
      <c r="N19" s="99"/>
      <c r="O19" s="99"/>
    </row>
    <row r="20" spans="2:15">
      <c r="D20" s="5"/>
      <c r="E20" s="339" t="s">
        <v>336</v>
      </c>
      <c r="F20" s="317">
        <f>'Cost of Equity, Debt &amp; WACC'!C16</f>
        <v>0.18484535026970744</v>
      </c>
      <c r="H20" s="140"/>
      <c r="K20" s="62"/>
      <c r="L20" s="147"/>
      <c r="M20" s="99"/>
      <c r="N20" s="127"/>
      <c r="O20" s="127"/>
    </row>
    <row r="21" spans="2:15" ht="12" customHeight="1">
      <c r="D21" s="5"/>
      <c r="E21" s="339" t="s">
        <v>334</v>
      </c>
      <c r="F21" s="318">
        <f ca="1">H11</f>
        <v>25.244121494851214</v>
      </c>
      <c r="H21" s="140"/>
      <c r="K21" s="161"/>
      <c r="L21" s="147"/>
      <c r="M21" s="99"/>
      <c r="N21" s="99"/>
      <c r="O21" s="99"/>
    </row>
    <row r="22" spans="2:15">
      <c r="D22" s="20"/>
      <c r="E22" s="6"/>
      <c r="F22" s="319"/>
      <c r="G22" s="99"/>
      <c r="H22" s="161"/>
      <c r="I22" s="161"/>
      <c r="K22" s="161"/>
      <c r="L22" s="147"/>
      <c r="M22" s="99"/>
      <c r="N22" s="127"/>
      <c r="O22" s="127"/>
    </row>
    <row r="23" spans="2:15">
      <c r="D23" s="5"/>
      <c r="E23" s="340" t="s">
        <v>335</v>
      </c>
      <c r="F23" s="445">
        <f ca="1">F19*((1-(1+F20)^(-F21))/F20)+F18/(1+F20)^F21</f>
        <v>14301.676391903666</v>
      </c>
      <c r="G23" s="99"/>
      <c r="H23" s="118"/>
      <c r="I23" s="118"/>
      <c r="L23" s="62"/>
      <c r="M23" s="99"/>
      <c r="N23" s="99"/>
      <c r="O23" s="99"/>
    </row>
    <row r="24" spans="2:15">
      <c r="D24" s="5"/>
      <c r="K24" s="62"/>
      <c r="L24" s="62"/>
      <c r="M24" s="99"/>
      <c r="N24" s="127"/>
      <c r="O24" s="127"/>
    </row>
    <row r="25" spans="2:15">
      <c r="D25" s="5"/>
      <c r="G25" s="99"/>
      <c r="H25" s="141"/>
      <c r="K25" s="62"/>
      <c r="L25" s="62"/>
      <c r="M25" s="99"/>
      <c r="N25" s="127"/>
      <c r="O25" s="127"/>
    </row>
    <row r="26" spans="2:15">
      <c r="D26" s="20"/>
      <c r="G26" s="99"/>
      <c r="H26" s="127"/>
      <c r="K26" s="62"/>
      <c r="L26" s="147"/>
      <c r="M26" s="99"/>
      <c r="N26" s="127"/>
      <c r="O26" s="127"/>
    </row>
    <row r="27" spans="2:15">
      <c r="D27" s="6"/>
      <c r="G27" s="99"/>
      <c r="H27" s="99"/>
      <c r="K27" s="62"/>
      <c r="L27" s="147"/>
      <c r="M27" s="99"/>
      <c r="N27" s="162"/>
      <c r="O27" s="162"/>
    </row>
    <row r="28" spans="2:15">
      <c r="D28" s="3"/>
      <c r="E28" s="136"/>
      <c r="F28" s="136"/>
      <c r="G28" s="99"/>
      <c r="H28" s="99"/>
      <c r="K28" s="62"/>
      <c r="L28" s="62"/>
      <c r="M28" s="99"/>
      <c r="N28" s="160"/>
      <c r="O28" s="160"/>
    </row>
    <row r="29" spans="2:15">
      <c r="D29" s="3"/>
      <c r="E29" s="136"/>
      <c r="F29" s="136"/>
      <c r="G29" s="99"/>
      <c r="H29" s="127"/>
      <c r="K29" s="62"/>
      <c r="L29" s="3"/>
      <c r="M29" s="99"/>
      <c r="N29" s="127"/>
      <c r="O29" s="127"/>
    </row>
    <row r="30" spans="2:15">
      <c r="D30" s="3"/>
      <c r="E30" s="136"/>
      <c r="F30" s="136"/>
      <c r="G30" s="99"/>
      <c r="H30" s="99"/>
      <c r="K30" s="62"/>
      <c r="L30" s="3"/>
      <c r="M30" s="140"/>
      <c r="O30" s="127"/>
    </row>
    <row r="31" spans="2:15">
      <c r="D31" s="3"/>
      <c r="E31" s="136"/>
      <c r="F31" s="136"/>
      <c r="G31" s="99"/>
      <c r="H31" s="140"/>
      <c r="K31" s="62"/>
      <c r="L31" s="3"/>
      <c r="M31" s="140"/>
      <c r="O31" s="127"/>
    </row>
    <row r="32" spans="2:15">
      <c r="D32" s="3"/>
      <c r="G32" s="99"/>
      <c r="H32" s="99"/>
      <c r="K32" s="62"/>
      <c r="L32" s="3"/>
      <c r="M32" s="99"/>
      <c r="N32" s="127"/>
      <c r="O32" s="127"/>
    </row>
    <row r="33" spans="4:15">
      <c r="D33" s="3"/>
      <c r="G33" s="99"/>
      <c r="H33" s="140"/>
      <c r="K33" s="6"/>
      <c r="L33" s="3"/>
      <c r="M33" s="99"/>
      <c r="N33" s="161"/>
      <c r="O33" s="161"/>
    </row>
    <row r="34" spans="4:15">
      <c r="D34" s="60"/>
      <c r="G34" s="137"/>
      <c r="H34" s="140"/>
      <c r="K34" s="6"/>
      <c r="L34" s="3"/>
      <c r="M34" s="99"/>
      <c r="N34" s="161"/>
      <c r="O34" s="161"/>
    </row>
    <row r="35" spans="4:15">
      <c r="D35" s="148"/>
      <c r="G35" s="137"/>
      <c r="H35" s="140"/>
      <c r="K35" s="6"/>
      <c r="L35" s="3"/>
      <c r="M35" s="99"/>
      <c r="N35" s="118"/>
      <c r="O35" s="118"/>
    </row>
    <row r="36" spans="4:15" ht="12" customHeight="1">
      <c r="D36" s="148"/>
      <c r="G36" s="137"/>
      <c r="H36" s="138"/>
      <c r="K36" s="62"/>
      <c r="L36" s="3"/>
      <c r="M36" s="99"/>
      <c r="N36" s="161"/>
      <c r="O36" s="161"/>
    </row>
    <row r="37" spans="4:15">
      <c r="D37" s="149"/>
      <c r="G37" s="137"/>
      <c r="H37" s="138"/>
      <c r="K37" s="6"/>
      <c r="L37" s="3"/>
      <c r="M37" s="99"/>
      <c r="N37" s="118"/>
      <c r="O37" s="118"/>
    </row>
    <row r="38" spans="4:15">
      <c r="D38" s="3"/>
      <c r="G38" s="137"/>
      <c r="H38" s="139"/>
      <c r="K38" s="6"/>
      <c r="L38" s="3"/>
      <c r="M38" s="3"/>
      <c r="N38" s="3"/>
      <c r="O38" s="3"/>
    </row>
    <row r="39" spans="4:15" ht="12" customHeight="1">
      <c r="H39" s="138"/>
      <c r="K39" s="6"/>
      <c r="M39" s="3"/>
      <c r="N39" s="3"/>
      <c r="O39" s="163"/>
    </row>
    <row r="40" spans="4:15">
      <c r="H40" s="138"/>
      <c r="K40" s="3"/>
      <c r="M40" s="3"/>
      <c r="N40" s="3"/>
      <c r="O40" s="3"/>
    </row>
    <row r="41" spans="4:15">
      <c r="K41" s="62"/>
      <c r="M41" s="3"/>
      <c r="N41" s="3"/>
      <c r="O41" s="3"/>
    </row>
    <row r="42" spans="4:15">
      <c r="K42" s="62"/>
      <c r="M42" s="3"/>
      <c r="N42" s="3"/>
      <c r="O42" s="3"/>
    </row>
    <row r="43" spans="4:15">
      <c r="K43" s="62"/>
      <c r="M43" s="3"/>
      <c r="N43" s="3"/>
      <c r="O43" s="3"/>
    </row>
    <row r="44" spans="4:15">
      <c r="K44" s="62"/>
      <c r="M44" s="3"/>
      <c r="N44" s="3"/>
      <c r="O44" s="3"/>
    </row>
    <row r="45" spans="4:15">
      <c r="K45" s="62"/>
      <c r="M45" s="3"/>
      <c r="N45" s="3"/>
      <c r="O45" s="3"/>
    </row>
    <row r="46" spans="4:15">
      <c r="K46" s="62"/>
      <c r="M46" s="3"/>
      <c r="N46" s="3"/>
      <c r="O46" s="3"/>
    </row>
    <row r="47" spans="4:15">
      <c r="K47" s="62"/>
      <c r="M47" s="3"/>
      <c r="N47" s="3"/>
      <c r="O47" s="3"/>
    </row>
    <row r="48" spans="4:15">
      <c r="K48" s="62"/>
    </row>
    <row r="49" spans="11:11">
      <c r="K49" s="62"/>
    </row>
    <row r="57" spans="11:11" ht="12" customHeight="1"/>
    <row r="63" spans="11:11" ht="12" customHeight="1"/>
    <row r="117" spans="15:15">
      <c r="O117" s="13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5.7109375" style="2" customWidth="1"/>
    <col min="3" max="3" width="12" style="2" bestFit="1" customWidth="1"/>
    <col min="4" max="4" width="5.85546875" style="2" customWidth="1"/>
    <col min="5" max="5" width="11.5703125" style="2" customWidth="1"/>
    <col min="6" max="6" width="11.28515625" style="2" customWidth="1"/>
    <col min="7" max="7" width="12.28515625" style="2" customWidth="1"/>
    <col min="8" max="8" width="9.85546875" style="2" bestFit="1" customWidth="1"/>
    <col min="9" max="9" width="11" style="2" bestFit="1" customWidth="1"/>
    <col min="10" max="12" width="10.5703125" style="2" bestFit="1" customWidth="1"/>
    <col min="13" max="16384" width="9.140625" style="2"/>
  </cols>
  <sheetData>
    <row r="1" spans="2:13" ht="15.75">
      <c r="B1" s="15" t="s">
        <v>156</v>
      </c>
    </row>
    <row r="3" spans="2:13" ht="12" customHeight="1">
      <c r="B3" s="325" t="s">
        <v>7</v>
      </c>
      <c r="C3" s="248"/>
      <c r="L3" s="239"/>
      <c r="M3" s="7"/>
    </row>
    <row r="4" spans="2:13" ht="12.75" thickBot="1">
      <c r="B4" s="253"/>
      <c r="C4" s="253"/>
    </row>
    <row r="5" spans="2:13">
      <c r="B5" s="35" t="str">
        <f>Drivers!$C$5&amp;" Risk Free Rate"</f>
        <v>$ Risk Free Rate</v>
      </c>
      <c r="C5" s="92">
        <f>'Risk Free Rate &amp; ERP'!C6</f>
        <v>3.4320000000000003E-2</v>
      </c>
      <c r="D5" s="5"/>
    </row>
    <row r="6" spans="2:13">
      <c r="B6" s="35" t="str">
        <f>Drivers!$C$11&amp;"'s Equity Risk Premium"</f>
        <v>BA's Equity Risk Premium</v>
      </c>
      <c r="C6" s="92">
        <f>'Risk Free Rate &amp; ERP'!C8</f>
        <v>5.5261482151772102E-2</v>
      </c>
      <c r="D6" s="20"/>
    </row>
    <row r="7" spans="2:13">
      <c r="B7" s="35" t="str">
        <f>Drivers!$C$11&amp;"'s Bottom Up Beta"</f>
        <v>BA's Bottom Up Beta</v>
      </c>
      <c r="C7" s="100">
        <f ca="1">'Bottom Up Beta'!C18</f>
        <v>1.0225249113707391</v>
      </c>
      <c r="D7" s="5"/>
    </row>
    <row r="8" spans="2:13">
      <c r="B8" s="324" t="s">
        <v>7</v>
      </c>
      <c r="C8" s="268">
        <f ca="1">C5+C7*C6</f>
        <v>9.0826242139456448E-2</v>
      </c>
      <c r="D8" s="5"/>
    </row>
    <row r="9" spans="2:13">
      <c r="B9" s="3"/>
      <c r="C9" s="3"/>
      <c r="D9" s="5"/>
    </row>
    <row r="10" spans="2:13">
      <c r="B10" s="325" t="s">
        <v>36</v>
      </c>
      <c r="C10" s="248"/>
      <c r="D10" s="5"/>
      <c r="E10" s="5"/>
      <c r="F10" s="5"/>
    </row>
    <row r="11" spans="2:13" ht="12.75" thickBot="1">
      <c r="B11" s="253"/>
      <c r="C11" s="253"/>
      <c r="D11" s="5"/>
      <c r="E11" s="20"/>
      <c r="F11" s="5"/>
    </row>
    <row r="12" spans="2:13">
      <c r="B12" s="35" t="str">
        <f>Drivers!$C$5&amp;" Risk Free Rate"</f>
        <v>$ Risk Free Rate</v>
      </c>
      <c r="C12" s="63">
        <f>'Risk Free Rate &amp; ERP'!$C$6</f>
        <v>3.4320000000000003E-2</v>
      </c>
      <c r="F12" s="20"/>
    </row>
    <row r="13" spans="2:13">
      <c r="B13" s="35" t="s">
        <v>295</v>
      </c>
      <c r="C13" s="63">
        <f>'Risk Free Rate &amp; ERP'!G20</f>
        <v>1.052535026970741E-2</v>
      </c>
      <c r="D13" s="5"/>
      <c r="E13" s="5"/>
      <c r="F13" s="5"/>
    </row>
    <row r="14" spans="2:13">
      <c r="B14" s="250" t="s">
        <v>180</v>
      </c>
      <c r="C14" s="63" t="s">
        <v>233</v>
      </c>
      <c r="D14" s="5"/>
      <c r="E14" s="5"/>
      <c r="F14" s="5"/>
    </row>
    <row r="15" spans="2:13">
      <c r="B15" s="35" t="str">
        <f>Drivers!$C$11&amp;"'s Default Spread"</f>
        <v>BA's Default Spread</v>
      </c>
      <c r="C15" s="92">
        <v>0.14000000000000001</v>
      </c>
      <c r="D15" s="5"/>
      <c r="E15" s="5"/>
      <c r="F15" s="5"/>
    </row>
    <row r="16" spans="2:13">
      <c r="B16" s="324" t="s">
        <v>36</v>
      </c>
      <c r="C16" s="268">
        <f>C12+C13+C15</f>
        <v>0.18484535026970744</v>
      </c>
      <c r="D16" s="5"/>
      <c r="E16" s="5"/>
      <c r="F16" s="20"/>
    </row>
    <row r="17" spans="2:12">
      <c r="D17" s="20"/>
      <c r="E17" s="20"/>
      <c r="G17" s="5"/>
      <c r="H17" s="5"/>
      <c r="I17" s="5"/>
    </row>
    <row r="18" spans="2:12">
      <c r="B18" s="325" t="s">
        <v>6</v>
      </c>
      <c r="C18" s="248"/>
      <c r="D18" s="5"/>
      <c r="E18" s="5"/>
      <c r="F18" s="20"/>
      <c r="G18" s="5"/>
      <c r="H18" s="5"/>
      <c r="I18" s="5"/>
    </row>
    <row r="19" spans="2:12" ht="12.75" thickBot="1">
      <c r="B19" s="253"/>
      <c r="C19" s="253"/>
      <c r="D19" s="5"/>
    </row>
    <row r="20" spans="2:12">
      <c r="B20" s="341" t="s">
        <v>7</v>
      </c>
      <c r="C20" s="335">
        <f ca="1">C8</f>
        <v>9.0826242139456448E-2</v>
      </c>
      <c r="D20" s="5"/>
    </row>
    <row r="21" spans="2:12">
      <c r="B21" s="341" t="str">
        <f>"Market Value of Equity ("&amp;Drivers!$C$5&amp;"m)"</f>
        <v>Market Value of Equity ($m)</v>
      </c>
      <c r="C21" s="323">
        <f>'Bottom Up Beta'!C13</f>
        <v>127249.11</v>
      </c>
      <c r="D21" s="20"/>
    </row>
    <row r="22" spans="2:12">
      <c r="B22" s="341" t="s">
        <v>152</v>
      </c>
      <c r="C22" s="335">
        <f>C16</f>
        <v>0.18484535026970744</v>
      </c>
    </row>
    <row r="23" spans="2:12">
      <c r="B23" s="341" t="str">
        <f>"Market Value of Debt ("&amp;Drivers!$C$5&amp;"m)"</f>
        <v>Market Value of Debt ($m)</v>
      </c>
      <c r="C23" s="323">
        <f ca="1">'Bottom Up Beta'!C14</f>
        <v>14301.676391903666</v>
      </c>
    </row>
    <row r="24" spans="2:12">
      <c r="B24" s="341" t="s">
        <v>155</v>
      </c>
      <c r="C24" s="335">
        <f>'Risk Free Rate &amp; ERP'!H20</f>
        <v>0.22029957420656662</v>
      </c>
      <c r="F24" s="5"/>
      <c r="G24" s="38"/>
      <c r="H24" s="35"/>
      <c r="I24" s="35"/>
      <c r="J24" s="35"/>
      <c r="K24" s="35"/>
      <c r="L24" s="35"/>
    </row>
    <row r="25" spans="2:12">
      <c r="B25" s="342"/>
      <c r="C25" s="342"/>
      <c r="D25" s="3"/>
      <c r="F25" s="20"/>
      <c r="G25" s="38"/>
      <c r="H25" s="35"/>
      <c r="I25" s="35"/>
      <c r="J25" s="35"/>
      <c r="K25" s="35"/>
      <c r="L25" s="35"/>
    </row>
    <row r="26" spans="2:12">
      <c r="B26" s="341" t="s">
        <v>153</v>
      </c>
      <c r="C26" s="335">
        <f ca="1">C21/(C21+C23)</f>
        <v>0.89896434519051394</v>
      </c>
      <c r="F26" s="3"/>
      <c r="G26" s="74"/>
      <c r="H26" s="74"/>
      <c r="I26" s="74"/>
      <c r="J26" s="74"/>
      <c r="K26" s="74"/>
      <c r="L26" s="19"/>
    </row>
    <row r="27" spans="2:12">
      <c r="B27" s="341" t="s">
        <v>154</v>
      </c>
      <c r="C27" s="335">
        <f ca="1">C23/(C21+C23)</f>
        <v>0.10103565480948598</v>
      </c>
      <c r="F27" s="3"/>
    </row>
    <row r="28" spans="2:12">
      <c r="B28" s="342"/>
      <c r="C28" s="342"/>
      <c r="D28" s="3"/>
      <c r="E28" s="3"/>
      <c r="F28" s="3"/>
    </row>
    <row r="29" spans="2:12">
      <c r="B29" s="324" t="s">
        <v>5</v>
      </c>
      <c r="C29" s="268">
        <f ca="1">(C20*C26)+(C22*(1-C24)*C27)</f>
        <v>9.6211215834147629E-2</v>
      </c>
      <c r="D29" s="3"/>
      <c r="E29" s="3"/>
      <c r="F29" s="3"/>
    </row>
    <row r="30" spans="2:12">
      <c r="D30" s="3"/>
      <c r="E30" s="3"/>
      <c r="F30" s="3"/>
    </row>
    <row r="31" spans="2:12">
      <c r="D31" s="3"/>
      <c r="E31" s="3"/>
      <c r="F31" s="3"/>
    </row>
    <row r="32" spans="2:12">
      <c r="D32" s="3"/>
      <c r="E32" s="3"/>
      <c r="F32" s="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29" t="s">
        <v>40</v>
      </c>
    </row>
    <row r="3" spans="2:2">
      <c r="B3" s="83"/>
    </row>
    <row r="4" spans="2:2">
      <c r="B4" s="8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48"/>
  <sheetViews>
    <sheetView workbookViewId="0"/>
  </sheetViews>
  <sheetFormatPr defaultRowHeight="12"/>
  <cols>
    <col min="1" max="1" width="2" style="77" customWidth="1"/>
    <col min="2" max="2" width="25.42578125" style="77" customWidth="1"/>
    <col min="3" max="7" width="11.7109375" style="77" customWidth="1"/>
    <col min="8" max="8" width="12.28515625" style="77" customWidth="1"/>
    <col min="9" max="9" width="23" style="77" customWidth="1"/>
    <col min="10" max="10" width="10.7109375" style="77" customWidth="1" collapsed="1"/>
    <col min="11" max="15" width="10.7109375" style="77" customWidth="1"/>
    <col min="16" max="16" width="11.140625" style="77" customWidth="1"/>
    <col min="17" max="29" width="9.140625" style="77" customWidth="1"/>
    <col min="30" max="30" width="9.28515625" style="77" customWidth="1"/>
    <col min="31" max="31" width="9.42578125" style="77" customWidth="1"/>
    <col min="32" max="32" width="10" style="77" customWidth="1"/>
    <col min="33" max="33" width="11.42578125" style="77" customWidth="1"/>
    <col min="34" max="34" width="9.42578125" style="77" bestFit="1" customWidth="1" collapsed="1"/>
    <col min="35" max="16384" width="9.140625" style="77"/>
  </cols>
  <sheetData>
    <row r="1" spans="1:35" s="76" customFormat="1" ht="15" customHeight="1">
      <c r="B1" s="15" t="s">
        <v>174</v>
      </c>
      <c r="C1" s="15"/>
      <c r="D1" s="15"/>
      <c r="E1" s="15"/>
      <c r="F1" s="15"/>
      <c r="G1" s="75"/>
      <c r="H1" s="75"/>
      <c r="I1" s="75"/>
      <c r="J1" s="75"/>
      <c r="K1" s="75"/>
      <c r="L1" s="75"/>
      <c r="M1" s="75"/>
      <c r="N1" s="75"/>
      <c r="O1" s="75"/>
    </row>
    <row r="2" spans="1:35" ht="12" customHeight="1"/>
    <row r="3" spans="1:35" s="79" customFormat="1" ht="12" customHeight="1">
      <c r="A3" s="77"/>
      <c r="B3" s="348" t="s">
        <v>374</v>
      </c>
      <c r="C3" s="347"/>
      <c r="D3" s="347"/>
      <c r="E3" s="347"/>
      <c r="F3" s="347"/>
      <c r="G3" s="347"/>
      <c r="H3" s="77"/>
      <c r="I3" s="368" t="s">
        <v>377</v>
      </c>
      <c r="J3" s="347"/>
      <c r="K3" s="347"/>
      <c r="L3" s="347"/>
      <c r="M3" s="347"/>
      <c r="N3" s="347"/>
      <c r="O3" s="371"/>
      <c r="P3" s="174"/>
      <c r="Q3" s="78"/>
      <c r="R3" s="78"/>
      <c r="S3" s="78"/>
      <c r="T3" s="78"/>
      <c r="U3" s="78"/>
      <c r="V3" s="78"/>
      <c r="W3" s="78"/>
      <c r="X3" s="78"/>
      <c r="Y3" s="78"/>
      <c r="Z3" s="78"/>
      <c r="AA3" s="78"/>
      <c r="AB3" s="78"/>
      <c r="AC3" s="78"/>
      <c r="AD3" s="78"/>
    </row>
    <row r="4" spans="1:35" ht="12" customHeight="1" thickBot="1">
      <c r="B4" s="349" t="str">
        <f>Drivers!$C$5&amp;" in mil"</f>
        <v>$ in mil</v>
      </c>
      <c r="C4" s="367">
        <v>43101</v>
      </c>
      <c r="D4" s="367">
        <f>EDATE(C4,12)</f>
        <v>43466</v>
      </c>
      <c r="E4" s="367">
        <f>EDATE(D4,12)</f>
        <v>43831</v>
      </c>
      <c r="F4" s="367">
        <f>EDATE(E4,12)</f>
        <v>44197</v>
      </c>
      <c r="G4" s="367">
        <f>EDATE(F4,12)</f>
        <v>44562</v>
      </c>
      <c r="H4" s="78"/>
      <c r="I4" s="349" t="str">
        <f>Drivers!$C$5&amp;" in mil"</f>
        <v>$ in mil</v>
      </c>
      <c r="J4" s="367">
        <v>43101</v>
      </c>
      <c r="K4" s="367">
        <f>EDATE(J4,12)</f>
        <v>43466</v>
      </c>
      <c r="L4" s="367">
        <f>EDATE(K4,12)</f>
        <v>43831</v>
      </c>
      <c r="M4" s="367">
        <f>EDATE(L4,12)</f>
        <v>44197</v>
      </c>
      <c r="N4" s="367">
        <f>EDATE(M4,12)</f>
        <v>44562</v>
      </c>
      <c r="O4" s="372"/>
    </row>
    <row r="5" spans="1:35" ht="12" customHeight="1">
      <c r="A5" s="79"/>
      <c r="B5" s="358" t="s">
        <v>4</v>
      </c>
      <c r="C5" s="359">
        <f>'Income Statement'!C7</f>
        <v>101127</v>
      </c>
      <c r="D5" s="359">
        <f>'Income Statement'!D7</f>
        <v>76559</v>
      </c>
      <c r="E5" s="359">
        <f>'Income Statement'!E7</f>
        <v>58158</v>
      </c>
      <c r="F5" s="359">
        <f>'Income Statement'!F7</f>
        <v>62286</v>
      </c>
      <c r="G5" s="359">
        <f>'Income Statement'!G7</f>
        <v>66608</v>
      </c>
      <c r="H5" s="97"/>
      <c r="I5" s="82" t="s">
        <v>378</v>
      </c>
      <c r="J5" s="360">
        <f>-C8</f>
        <v>3269</v>
      </c>
      <c r="K5" s="360">
        <f>-D8</f>
        <v>3219</v>
      </c>
      <c r="L5" s="360">
        <f>-E8</f>
        <v>2476</v>
      </c>
      <c r="M5" s="360">
        <f>-F8</f>
        <v>2249</v>
      </c>
      <c r="N5" s="360">
        <f>-G8</f>
        <v>2852</v>
      </c>
      <c r="O5" s="134"/>
    </row>
    <row r="6" spans="1:35" ht="12" customHeight="1">
      <c r="A6" s="84"/>
      <c r="B6" s="356" t="s">
        <v>219</v>
      </c>
      <c r="C6" s="377">
        <f>'Income Statement'!C10</f>
        <v>-81490</v>
      </c>
      <c r="D6" s="377">
        <f>'Income Statement'!D10</f>
        <v>-72093</v>
      </c>
      <c r="E6" s="377">
        <f>'Income Statement'!E10</f>
        <v>-63843</v>
      </c>
      <c r="F6" s="377">
        <f>'Income Statement'!F10</f>
        <v>-59269</v>
      </c>
      <c r="G6" s="377">
        <f>'Income Statement'!G10</f>
        <v>-63106</v>
      </c>
      <c r="H6" s="369">
        <f t="shared" ref="H6:H11" si="0">G6/$G$5</f>
        <v>-0.94742373288493875</v>
      </c>
      <c r="Q6" s="81"/>
      <c r="R6" s="81"/>
      <c r="S6" s="81"/>
      <c r="T6" s="81"/>
      <c r="U6" s="81"/>
      <c r="V6" s="81"/>
      <c r="AA6" s="81"/>
    </row>
    <row r="7" spans="1:35" ht="12" customHeight="1">
      <c r="B7" s="350" t="s">
        <v>160</v>
      </c>
      <c r="C7" s="361">
        <f>SUM(C5:C6)</f>
        <v>19637</v>
      </c>
      <c r="D7" s="361">
        <f>SUM(D5:D6)</f>
        <v>4466</v>
      </c>
      <c r="E7" s="361">
        <f>SUM(E5:E6)</f>
        <v>-5685</v>
      </c>
      <c r="F7" s="361">
        <f>SUM(F5:F6)</f>
        <v>3017</v>
      </c>
      <c r="G7" s="361">
        <f>SUM(G5:G6)</f>
        <v>3502</v>
      </c>
      <c r="H7" s="370">
        <f t="shared" si="0"/>
        <v>5.2576267115061255E-2</v>
      </c>
      <c r="I7" s="82" t="s">
        <v>188</v>
      </c>
      <c r="J7" s="45">
        <v>0</v>
      </c>
      <c r="K7" s="117">
        <f>1/4</f>
        <v>0.25</v>
      </c>
      <c r="L7" s="117">
        <f>2/4</f>
        <v>0.5</v>
      </c>
      <c r="M7" s="45">
        <f>3/4</f>
        <v>0.75</v>
      </c>
      <c r="N7" s="45">
        <v>1</v>
      </c>
      <c r="O7" s="134"/>
      <c r="P7" s="82"/>
      <c r="Q7" s="82"/>
      <c r="R7" s="82"/>
      <c r="S7" s="82"/>
      <c r="T7" s="82"/>
      <c r="U7" s="82"/>
      <c r="V7" s="82"/>
      <c r="W7" s="82"/>
      <c r="X7" s="82"/>
      <c r="Y7" s="82"/>
      <c r="Z7" s="82"/>
      <c r="AA7" s="82"/>
      <c r="AB7" s="82"/>
      <c r="AC7" s="82"/>
      <c r="AD7" s="82"/>
      <c r="AE7" s="82"/>
      <c r="AF7" s="82"/>
    </row>
    <row r="8" spans="1:35" ht="12" customHeight="1">
      <c r="A8" s="84"/>
      <c r="B8" s="357" t="s">
        <v>216</v>
      </c>
      <c r="C8" s="377">
        <f>'Income Statement'!C13</f>
        <v>-3269</v>
      </c>
      <c r="D8" s="377">
        <f>'Income Statement'!D13</f>
        <v>-3219</v>
      </c>
      <c r="E8" s="377">
        <f>'Income Statement'!E13</f>
        <v>-2476</v>
      </c>
      <c r="F8" s="377">
        <f>'Income Statement'!F13</f>
        <v>-2249</v>
      </c>
      <c r="G8" s="377">
        <f>'Income Statement'!G13</f>
        <v>-2852</v>
      </c>
      <c r="H8" s="369">
        <f t="shared" si="0"/>
        <v>-4.2817679558011051E-2</v>
      </c>
      <c r="I8" s="82" t="s">
        <v>184</v>
      </c>
      <c r="J8" s="45">
        <v>0</v>
      </c>
      <c r="K8" s="117">
        <f>1/3</f>
        <v>0.33333333333333331</v>
      </c>
      <c r="L8" s="117">
        <f>2/3</f>
        <v>0.66666666666666663</v>
      </c>
      <c r="M8" s="81">
        <v>1</v>
      </c>
      <c r="N8" s="45"/>
      <c r="P8" s="82"/>
      <c r="Q8" s="82"/>
      <c r="R8" s="82"/>
      <c r="S8" s="82"/>
      <c r="T8" s="82"/>
      <c r="U8" s="82"/>
      <c r="V8" s="82"/>
      <c r="W8" s="82"/>
      <c r="X8" s="82"/>
      <c r="Y8" s="82"/>
      <c r="Z8" s="82"/>
      <c r="AA8" s="82"/>
      <c r="AB8" s="82"/>
      <c r="AC8" s="82"/>
      <c r="AD8" s="82"/>
      <c r="AE8" s="82"/>
      <c r="AF8" s="82"/>
    </row>
    <row r="9" spans="1:35" ht="12" customHeight="1">
      <c r="A9" s="84"/>
      <c r="B9" s="357" t="s">
        <v>217</v>
      </c>
      <c r="C9" s="377">
        <f>'Income Statement'!C14</f>
        <v>0</v>
      </c>
      <c r="D9" s="377">
        <f>'Income Statement'!D14</f>
        <v>0</v>
      </c>
      <c r="E9" s="377">
        <f>'Income Statement'!E14</f>
        <v>0</v>
      </c>
      <c r="F9" s="377">
        <f>'Income Statement'!F14</f>
        <v>0</v>
      </c>
      <c r="G9" s="377">
        <f>'Income Statement'!G14</f>
        <v>0</v>
      </c>
      <c r="H9" s="369">
        <f t="shared" si="0"/>
        <v>0</v>
      </c>
      <c r="I9" s="82" t="s">
        <v>185</v>
      </c>
      <c r="J9" s="45">
        <v>0</v>
      </c>
      <c r="K9" s="117">
        <f>2/4</f>
        <v>0.5</v>
      </c>
      <c r="L9" s="81">
        <v>1</v>
      </c>
      <c r="M9" s="117"/>
      <c r="N9" s="45"/>
      <c r="P9" s="82"/>
      <c r="Q9" s="82"/>
      <c r="R9" s="82"/>
      <c r="S9" s="82"/>
      <c r="T9" s="82"/>
      <c r="U9" s="82"/>
      <c r="V9" s="82"/>
      <c r="W9" s="82"/>
      <c r="X9" s="82"/>
      <c r="Y9" s="82"/>
      <c r="Z9" s="82"/>
      <c r="AA9" s="82"/>
      <c r="AB9" s="82"/>
      <c r="AC9" s="82"/>
      <c r="AD9" s="82"/>
      <c r="AE9" s="82"/>
      <c r="AF9" s="82"/>
      <c r="AG9" s="82"/>
      <c r="AH9" s="82"/>
      <c r="AI9" s="82"/>
    </row>
    <row r="10" spans="1:35">
      <c r="A10" s="84"/>
      <c r="B10" s="356" t="s">
        <v>218</v>
      </c>
      <c r="C10" s="377">
        <f>'Income Statement'!C15</f>
        <v>-4567</v>
      </c>
      <c r="D10" s="377">
        <f>'Income Statement'!D15</f>
        <v>-3909</v>
      </c>
      <c r="E10" s="377">
        <f>'Income Statement'!E15</f>
        <v>-4817</v>
      </c>
      <c r="F10" s="377">
        <f>'Income Statement'!F15</f>
        <v>-4157</v>
      </c>
      <c r="G10" s="377">
        <f>'Income Statement'!G15</f>
        <v>-4187</v>
      </c>
      <c r="H10" s="369">
        <f t="shared" si="0"/>
        <v>-6.2860317079029546E-2</v>
      </c>
      <c r="I10" s="82" t="s">
        <v>186</v>
      </c>
      <c r="J10" s="45">
        <v>0</v>
      </c>
      <c r="K10" s="81">
        <v>1</v>
      </c>
      <c r="L10" s="117"/>
      <c r="M10" s="81"/>
      <c r="N10" s="45"/>
      <c r="P10" s="82"/>
      <c r="Q10" s="92"/>
      <c r="R10" s="82"/>
      <c r="S10" s="82"/>
      <c r="T10" s="82"/>
      <c r="U10" s="82"/>
      <c r="V10" s="82"/>
      <c r="W10" s="82"/>
      <c r="X10" s="82"/>
      <c r="Y10" s="82"/>
      <c r="Z10" s="82"/>
      <c r="AA10" s="82"/>
      <c r="AB10" s="82"/>
      <c r="AC10" s="82"/>
      <c r="AD10" s="82"/>
      <c r="AE10" s="82"/>
      <c r="AF10" s="82"/>
      <c r="AG10" s="82"/>
      <c r="AH10" s="82"/>
      <c r="AI10" s="82"/>
    </row>
    <row r="11" spans="1:35">
      <c r="B11" s="351" t="s">
        <v>3</v>
      </c>
      <c r="C11" s="362">
        <f>SUM(C7:C10)</f>
        <v>11801</v>
      </c>
      <c r="D11" s="362">
        <f>SUM(D7:D10)</f>
        <v>-2662</v>
      </c>
      <c r="E11" s="362">
        <f>SUM(E7:E10)</f>
        <v>-12978</v>
      </c>
      <c r="F11" s="362">
        <f>SUM(F7:F10)</f>
        <v>-3389</v>
      </c>
      <c r="G11" s="362">
        <f>SUM(G7:G10)</f>
        <v>-3537</v>
      </c>
      <c r="H11" s="370">
        <f t="shared" si="0"/>
        <v>-5.3101729521979342E-2</v>
      </c>
      <c r="I11" s="82" t="s">
        <v>187</v>
      </c>
      <c r="J11" s="45">
        <v>1</v>
      </c>
      <c r="K11" s="81"/>
      <c r="L11" s="117"/>
      <c r="M11" s="81"/>
      <c r="N11" s="45"/>
      <c r="P11" s="82"/>
      <c r="Q11" s="82"/>
      <c r="R11" s="82"/>
      <c r="S11" s="82"/>
      <c r="T11" s="82"/>
      <c r="U11" s="82"/>
      <c r="V11" s="82"/>
      <c r="W11" s="82"/>
      <c r="X11" s="82"/>
      <c r="Y11" s="82"/>
      <c r="Z11" s="82"/>
      <c r="AA11" s="82"/>
      <c r="AB11" s="82"/>
      <c r="AC11" s="82"/>
      <c r="AD11" s="82"/>
      <c r="AE11" s="82"/>
      <c r="AF11" s="82"/>
      <c r="AG11" s="82"/>
      <c r="AH11" s="82"/>
      <c r="AI11" s="82"/>
    </row>
    <row r="12" spans="1:35">
      <c r="A12" s="84"/>
      <c r="B12" s="172"/>
      <c r="C12" s="240"/>
      <c r="D12" s="240"/>
      <c r="E12" s="240"/>
      <c r="F12" s="240"/>
      <c r="G12" s="240"/>
      <c r="H12" s="16"/>
      <c r="P12" s="82"/>
      <c r="Q12" s="82"/>
      <c r="R12" s="82"/>
      <c r="S12" s="82"/>
      <c r="T12" s="82"/>
      <c r="U12" s="82"/>
      <c r="V12" s="82"/>
      <c r="W12" s="82"/>
      <c r="X12" s="82"/>
      <c r="Y12" s="82"/>
      <c r="Z12" s="82"/>
      <c r="AA12" s="82"/>
      <c r="AB12" s="82"/>
      <c r="AC12" s="82"/>
      <c r="AD12" s="82"/>
      <c r="AE12" s="82"/>
      <c r="AF12" s="82"/>
      <c r="AG12" s="82"/>
      <c r="AH12" s="82"/>
    </row>
    <row r="13" spans="1:35">
      <c r="A13" s="79"/>
      <c r="B13" s="77" t="s">
        <v>161</v>
      </c>
      <c r="C13" s="360">
        <f>O17</f>
        <v>3269</v>
      </c>
      <c r="D13" s="360">
        <f>O16</f>
        <v>3219</v>
      </c>
      <c r="E13" s="360">
        <f>O15</f>
        <v>4085.5</v>
      </c>
      <c r="F13" s="360">
        <f>O14</f>
        <v>4972.6666666666661</v>
      </c>
      <c r="G13" s="360">
        <f>O13</f>
        <v>6581.5</v>
      </c>
      <c r="I13" s="82" t="s">
        <v>189</v>
      </c>
      <c r="J13" s="360">
        <f>J$5*J7</f>
        <v>0</v>
      </c>
      <c r="K13" s="360">
        <f>K$5*K7</f>
        <v>804.75</v>
      </c>
      <c r="L13" s="360">
        <f>L$5*L7</f>
        <v>1238</v>
      </c>
      <c r="M13" s="360">
        <f>M$5*M7</f>
        <v>1686.75</v>
      </c>
      <c r="N13" s="360">
        <f>N$5*N7</f>
        <v>2852</v>
      </c>
      <c r="O13" s="376">
        <f>SUM(J13:N13)</f>
        <v>6581.5</v>
      </c>
      <c r="P13" s="82"/>
      <c r="Q13" s="82"/>
      <c r="R13" s="82"/>
      <c r="S13" s="82"/>
      <c r="T13" s="82"/>
      <c r="U13" s="82"/>
      <c r="V13" s="82"/>
      <c r="W13" s="82"/>
      <c r="X13" s="82"/>
      <c r="Y13" s="82"/>
      <c r="Z13" s="82"/>
      <c r="AA13" s="82"/>
      <c r="AB13" s="82"/>
      <c r="AC13" s="82"/>
      <c r="AD13" s="82"/>
      <c r="AE13" s="82"/>
      <c r="AF13" s="82"/>
      <c r="AG13" s="82"/>
      <c r="AH13" s="82"/>
    </row>
    <row r="14" spans="1:35">
      <c r="B14" s="77" t="s">
        <v>112</v>
      </c>
      <c r="C14" s="360">
        <f>O23</f>
        <v>0</v>
      </c>
      <c r="D14" s="360">
        <f>O22</f>
        <v>3269</v>
      </c>
      <c r="E14" s="360">
        <f>O21</f>
        <v>3244</v>
      </c>
      <c r="F14" s="360">
        <f>O20</f>
        <v>2988.0000000000005</v>
      </c>
      <c r="G14" s="360">
        <f>O19</f>
        <v>2803.25</v>
      </c>
      <c r="I14" s="82" t="s">
        <v>190</v>
      </c>
      <c r="J14" s="360">
        <f>J$5*J8</f>
        <v>0</v>
      </c>
      <c r="K14" s="360">
        <f>K$5*K8</f>
        <v>1073</v>
      </c>
      <c r="L14" s="360">
        <f>L$5*L8</f>
        <v>1650.6666666666665</v>
      </c>
      <c r="M14" s="360">
        <f>M$5*M8</f>
        <v>2249</v>
      </c>
      <c r="N14" s="360"/>
      <c r="O14" s="376">
        <f>SUM(J14:N14)</f>
        <v>4972.6666666666661</v>
      </c>
      <c r="P14" s="82"/>
      <c r="Q14" s="82"/>
      <c r="R14" s="82"/>
      <c r="S14" s="82"/>
      <c r="T14" s="82"/>
      <c r="U14" s="82"/>
      <c r="V14" s="82"/>
      <c r="W14" s="82"/>
      <c r="X14" s="82"/>
      <c r="Y14" s="82"/>
      <c r="Z14" s="82"/>
      <c r="AA14" s="82"/>
      <c r="AB14" s="82"/>
      <c r="AC14" s="82"/>
      <c r="AD14" s="82"/>
      <c r="AE14" s="82"/>
      <c r="AF14" s="82"/>
      <c r="AG14" s="82"/>
      <c r="AH14" s="82"/>
    </row>
    <row r="15" spans="1:35">
      <c r="A15" s="84"/>
      <c r="B15" s="77" t="s">
        <v>162</v>
      </c>
      <c r="C15" s="360">
        <f>-C8</f>
        <v>3269</v>
      </c>
      <c r="D15" s="360">
        <f>-D8</f>
        <v>3219</v>
      </c>
      <c r="E15" s="360">
        <f>-E8</f>
        <v>2476</v>
      </c>
      <c r="F15" s="360">
        <f>-F8</f>
        <v>2249</v>
      </c>
      <c r="G15" s="360">
        <f>-G8</f>
        <v>2852</v>
      </c>
      <c r="H15" s="82"/>
      <c r="I15" s="82" t="s">
        <v>191</v>
      </c>
      <c r="J15" s="360">
        <f>J$5*J9</f>
        <v>0</v>
      </c>
      <c r="K15" s="360">
        <f>K$5*K9</f>
        <v>1609.5</v>
      </c>
      <c r="L15" s="360">
        <f>L$5*L9</f>
        <v>2476</v>
      </c>
      <c r="M15" s="360"/>
      <c r="N15" s="360"/>
      <c r="O15" s="376">
        <f>SUM(J15:N15)</f>
        <v>4085.5</v>
      </c>
      <c r="P15" s="82"/>
      <c r="Q15" s="82"/>
      <c r="R15" s="82"/>
      <c r="S15" s="82"/>
      <c r="T15" s="82"/>
      <c r="U15" s="82"/>
      <c r="V15" s="82"/>
      <c r="W15" s="82"/>
      <c r="X15" s="82"/>
      <c r="Y15" s="82"/>
      <c r="Z15" s="82"/>
      <c r="AA15" s="82"/>
      <c r="AB15" s="82"/>
      <c r="AC15" s="82"/>
      <c r="AD15" s="82"/>
      <c r="AE15" s="82"/>
      <c r="AF15" s="82"/>
      <c r="AG15" s="82"/>
      <c r="AH15" s="82"/>
    </row>
    <row r="16" spans="1:35">
      <c r="A16" s="84"/>
      <c r="C16" s="241"/>
      <c r="D16" s="241"/>
      <c r="E16" s="241"/>
      <c r="F16" s="241"/>
      <c r="G16" s="241"/>
      <c r="H16" s="87"/>
      <c r="I16" s="82" t="s">
        <v>192</v>
      </c>
      <c r="J16" s="360">
        <f>J$5*J10</f>
        <v>0</v>
      </c>
      <c r="K16" s="360">
        <f>K$5*K10</f>
        <v>3219</v>
      </c>
      <c r="L16" s="360"/>
      <c r="M16" s="360"/>
      <c r="N16" s="360"/>
      <c r="O16" s="376">
        <f>SUM(J16:N16)</f>
        <v>3219</v>
      </c>
      <c r="R16" s="82"/>
      <c r="S16" s="82"/>
      <c r="T16" s="82"/>
      <c r="U16" s="82"/>
      <c r="V16" s="82"/>
      <c r="W16" s="82"/>
      <c r="X16" s="82"/>
      <c r="Y16" s="82"/>
      <c r="Z16" s="82"/>
      <c r="AA16" s="82"/>
      <c r="AB16" s="82"/>
      <c r="AC16" s="82"/>
      <c r="AD16" s="82"/>
      <c r="AE16" s="82"/>
      <c r="AF16" s="82"/>
      <c r="AG16" s="82"/>
      <c r="AH16" s="82"/>
      <c r="AI16" s="82"/>
    </row>
    <row r="17" spans="1:35">
      <c r="B17" s="77" t="s">
        <v>181</v>
      </c>
      <c r="C17" s="360">
        <f>C11+C15</f>
        <v>15070</v>
      </c>
      <c r="D17" s="360">
        <f>D11+D15</f>
        <v>557</v>
      </c>
      <c r="E17" s="360">
        <f>E11+E15</f>
        <v>-10502</v>
      </c>
      <c r="F17" s="360">
        <f>F11+F15</f>
        <v>-1140</v>
      </c>
      <c r="G17" s="360">
        <f>G11+G15</f>
        <v>-685</v>
      </c>
      <c r="H17" s="52"/>
      <c r="I17" s="82" t="s">
        <v>193</v>
      </c>
      <c r="J17" s="360">
        <f>J$5*J11</f>
        <v>3269</v>
      </c>
      <c r="K17" s="360"/>
      <c r="L17" s="360"/>
      <c r="M17" s="360"/>
      <c r="N17" s="360"/>
      <c r="O17" s="376">
        <f>SUM(J17:N17)</f>
        <v>3269</v>
      </c>
      <c r="R17" s="82"/>
      <c r="S17" s="82"/>
      <c r="T17" s="82"/>
      <c r="U17" s="82"/>
      <c r="V17" s="82"/>
      <c r="W17" s="82"/>
      <c r="X17" s="82"/>
      <c r="Y17" s="82"/>
      <c r="Z17" s="82"/>
      <c r="AA17" s="82"/>
      <c r="AB17" s="82"/>
      <c r="AC17" s="82"/>
      <c r="AD17" s="82"/>
      <c r="AE17" s="82"/>
      <c r="AF17" s="82"/>
      <c r="AG17" s="82"/>
      <c r="AH17" s="82"/>
      <c r="AI17" s="82"/>
    </row>
    <row r="18" spans="1:35">
      <c r="A18" s="84"/>
      <c r="B18" s="77" t="s">
        <v>163</v>
      </c>
      <c r="C18" s="360">
        <f>-C14</f>
        <v>0</v>
      </c>
      <c r="D18" s="360">
        <f>-D14</f>
        <v>-3269</v>
      </c>
      <c r="E18" s="360">
        <f>-E14</f>
        <v>-3244</v>
      </c>
      <c r="F18" s="360">
        <f>-F14</f>
        <v>-2988.0000000000005</v>
      </c>
      <c r="G18" s="360">
        <f>-G14</f>
        <v>-2803.25</v>
      </c>
      <c r="H18" s="52"/>
      <c r="I18" s="80"/>
      <c r="J18" s="584"/>
      <c r="K18" s="584"/>
      <c r="L18" s="584"/>
      <c r="M18" s="584"/>
      <c r="N18" s="584"/>
      <c r="O18" s="387"/>
      <c r="P18" s="82"/>
      <c r="Q18" s="82"/>
      <c r="R18" s="82"/>
      <c r="S18" s="82"/>
      <c r="T18" s="82"/>
      <c r="U18" s="82"/>
      <c r="V18" s="82"/>
      <c r="W18" s="82"/>
      <c r="X18" s="82"/>
      <c r="Y18" s="82"/>
      <c r="Z18" s="82"/>
      <c r="AA18" s="82"/>
      <c r="AB18" s="82"/>
      <c r="AC18" s="82"/>
      <c r="AD18" s="82"/>
      <c r="AE18" s="82"/>
      <c r="AF18" s="82"/>
      <c r="AG18" s="82"/>
      <c r="AH18" s="82"/>
      <c r="AI18" s="82"/>
    </row>
    <row r="19" spans="1:35">
      <c r="B19" s="353" t="s">
        <v>43</v>
      </c>
      <c r="C19" s="363">
        <f>SUM(C17:C18)</f>
        <v>15070</v>
      </c>
      <c r="D19" s="363">
        <f>SUM(D17:D18)</f>
        <v>-2712</v>
      </c>
      <c r="E19" s="363">
        <f>SUM(E17:E18)</f>
        <v>-13746</v>
      </c>
      <c r="F19" s="363">
        <f>SUM(F17:F18)</f>
        <v>-4128</v>
      </c>
      <c r="G19" s="363">
        <f>SUM(G17:G18)</f>
        <v>-3488.25</v>
      </c>
      <c r="H19" s="88"/>
      <c r="I19" s="82" t="s">
        <v>194</v>
      </c>
      <c r="J19" s="457">
        <f>J$5/4</f>
        <v>817.25</v>
      </c>
      <c r="K19" s="457">
        <f>K$5/4</f>
        <v>804.75</v>
      </c>
      <c r="L19" s="457">
        <f>L$5/4</f>
        <v>619</v>
      </c>
      <c r="M19" s="457">
        <f>M$5/4</f>
        <v>562.25</v>
      </c>
      <c r="N19" s="457">
        <v>0</v>
      </c>
      <c r="O19" s="376">
        <f>SUM(J19:N19)</f>
        <v>2803.25</v>
      </c>
      <c r="P19" s="82"/>
      <c r="Q19" s="82"/>
      <c r="R19" s="82"/>
      <c r="S19" s="82"/>
      <c r="T19" s="82"/>
      <c r="U19" s="82"/>
      <c r="V19" s="82"/>
      <c r="W19" s="82"/>
      <c r="X19" s="82"/>
      <c r="Y19" s="82"/>
      <c r="Z19" s="82"/>
      <c r="AA19" s="82"/>
      <c r="AB19" s="82"/>
      <c r="AC19" s="82"/>
      <c r="AD19" s="82"/>
      <c r="AE19" s="82"/>
      <c r="AF19" s="82"/>
      <c r="AG19" s="82"/>
      <c r="AH19" s="82"/>
      <c r="AI19" s="82"/>
    </row>
    <row r="20" spans="1:35">
      <c r="B20" s="77" t="s">
        <v>155</v>
      </c>
      <c r="C20" s="92">
        <v>9.8599999999999993E-2</v>
      </c>
      <c r="D20" s="92">
        <v>9.8599999999999993E-2</v>
      </c>
      <c r="E20" s="92">
        <v>9.8599999999999993E-2</v>
      </c>
      <c r="F20" s="92">
        <v>9.8599999999999993E-2</v>
      </c>
      <c r="G20" s="92">
        <v>9.8599999999999993E-2</v>
      </c>
      <c r="I20" s="82" t="s">
        <v>195</v>
      </c>
      <c r="J20" s="457">
        <f>J$5/3</f>
        <v>1089.6666666666667</v>
      </c>
      <c r="K20" s="457">
        <f>K$5/3</f>
        <v>1073</v>
      </c>
      <c r="L20" s="457">
        <f>L$5/3</f>
        <v>825.33333333333337</v>
      </c>
      <c r="M20" s="457">
        <v>0</v>
      </c>
      <c r="N20" s="457"/>
      <c r="O20" s="376">
        <f>SUM(J20:N20)</f>
        <v>2988.0000000000005</v>
      </c>
      <c r="P20" s="82"/>
      <c r="Q20" s="82"/>
      <c r="R20" s="82"/>
      <c r="S20" s="82"/>
      <c r="T20" s="82"/>
      <c r="U20" s="82"/>
      <c r="V20" s="82"/>
      <c r="W20" s="82"/>
      <c r="X20" s="82"/>
      <c r="Y20" s="82"/>
      <c r="Z20" s="82"/>
      <c r="AA20" s="82"/>
      <c r="AB20" s="82"/>
      <c r="AC20" s="82"/>
      <c r="AD20" s="82"/>
      <c r="AE20" s="82"/>
      <c r="AF20" s="82"/>
      <c r="AG20" s="82"/>
      <c r="AH20" s="82"/>
      <c r="AI20" s="82"/>
    </row>
    <row r="21" spans="1:35">
      <c r="B21" s="351" t="s">
        <v>310</v>
      </c>
      <c r="C21" s="362">
        <f>C19*(1-C20)</f>
        <v>13584.098</v>
      </c>
      <c r="D21" s="362">
        <f>D19*(1-D20)</f>
        <v>-2444.5967999999998</v>
      </c>
      <c r="E21" s="362">
        <f>E19*(1-E20)</f>
        <v>-12390.644399999999</v>
      </c>
      <c r="F21" s="362">
        <f>F19*(1-F20)</f>
        <v>-3720.9791999999998</v>
      </c>
      <c r="G21" s="362">
        <f>G19*(1-G20)</f>
        <v>-3144.3085499999997</v>
      </c>
      <c r="I21" s="82" t="s">
        <v>196</v>
      </c>
      <c r="J21" s="457">
        <f>J$5/2</f>
        <v>1634.5</v>
      </c>
      <c r="K21" s="457">
        <f>K$5/2</f>
        <v>1609.5</v>
      </c>
      <c r="L21" s="457">
        <f>L6/3</f>
        <v>0</v>
      </c>
      <c r="M21" s="457"/>
      <c r="N21" s="457"/>
      <c r="O21" s="376">
        <f>SUM(J21:N21)</f>
        <v>3244</v>
      </c>
      <c r="P21" s="82"/>
      <c r="Q21" s="82"/>
      <c r="R21" s="82"/>
      <c r="S21" s="82"/>
      <c r="T21" s="82"/>
      <c r="U21" s="82"/>
      <c r="V21" s="82"/>
      <c r="W21" s="82"/>
      <c r="X21" s="82"/>
      <c r="Y21" s="82"/>
      <c r="Z21" s="82"/>
      <c r="AA21" s="82"/>
      <c r="AB21" s="82"/>
      <c r="AC21" s="82"/>
      <c r="AD21" s="82"/>
      <c r="AE21" s="82"/>
      <c r="AF21" s="82"/>
      <c r="AG21" s="82"/>
      <c r="AH21" s="82"/>
      <c r="AI21" s="82"/>
    </row>
    <row r="22" spans="1:35">
      <c r="H22" s="175"/>
      <c r="I22" s="82" t="s">
        <v>197</v>
      </c>
      <c r="J22" s="360">
        <f>J$5/1</f>
        <v>3269</v>
      </c>
      <c r="K22" s="457">
        <v>0</v>
      </c>
      <c r="L22" s="457"/>
      <c r="M22" s="457"/>
      <c r="N22" s="457"/>
      <c r="O22" s="376">
        <f>SUM(J22:N22)</f>
        <v>3269</v>
      </c>
      <c r="P22" s="82"/>
      <c r="Q22" s="82"/>
      <c r="R22" s="82"/>
      <c r="S22" s="82"/>
      <c r="T22" s="82"/>
      <c r="U22" s="82"/>
      <c r="V22" s="82"/>
      <c r="W22" s="82"/>
      <c r="X22" s="82"/>
      <c r="Y22" s="82"/>
      <c r="Z22" s="82"/>
      <c r="AA22" s="82"/>
      <c r="AB22" s="82"/>
      <c r="AC22" s="82"/>
      <c r="AD22" s="82"/>
      <c r="AE22" s="82"/>
      <c r="AF22" s="82"/>
      <c r="AG22" s="82"/>
      <c r="AH22" s="82"/>
      <c r="AI22" s="82"/>
    </row>
    <row r="23" spans="1:35">
      <c r="B23" s="348" t="s">
        <v>375</v>
      </c>
      <c r="C23" s="347"/>
      <c r="D23" s="347"/>
      <c r="E23" s="347"/>
      <c r="F23" s="347"/>
      <c r="G23" s="347"/>
      <c r="I23" s="82" t="s">
        <v>198</v>
      </c>
      <c r="J23" s="360">
        <v>0</v>
      </c>
      <c r="K23" s="457"/>
      <c r="L23" s="457"/>
      <c r="M23" s="457"/>
      <c r="N23" s="457"/>
      <c r="O23" s="376">
        <f>SUM(J23:N23)</f>
        <v>0</v>
      </c>
      <c r="P23" s="82"/>
      <c r="Q23" s="82"/>
      <c r="R23" s="82"/>
      <c r="S23" s="82"/>
      <c r="T23" s="82"/>
      <c r="U23" s="82"/>
      <c r="V23" s="82"/>
      <c r="W23" s="82"/>
      <c r="X23" s="82"/>
      <c r="Y23" s="82"/>
      <c r="Z23" s="82"/>
      <c r="AA23" s="82"/>
      <c r="AB23" s="82"/>
      <c r="AC23" s="82"/>
      <c r="AD23" s="82"/>
      <c r="AE23" s="82"/>
      <c r="AF23" s="82"/>
      <c r="AG23" s="82"/>
      <c r="AH23" s="82"/>
      <c r="AI23" s="82"/>
    </row>
    <row r="24" spans="1:35" ht="12.75" thickBot="1">
      <c r="B24" s="349" t="str">
        <f>Drivers!$C$5&amp;" in mil"</f>
        <v>$ in mil</v>
      </c>
      <c r="C24" s="367">
        <v>43101</v>
      </c>
      <c r="D24" s="367">
        <f>EDATE(C24,12)</f>
        <v>43466</v>
      </c>
      <c r="E24" s="367">
        <f>EDATE(D24,12)</f>
        <v>43831</v>
      </c>
      <c r="F24" s="367">
        <f>EDATE(E24,12)</f>
        <v>44197</v>
      </c>
      <c r="G24" s="367">
        <f>EDATE(F24,12)</f>
        <v>44562</v>
      </c>
      <c r="H24" s="173"/>
      <c r="P24" s="82"/>
      <c r="Q24" s="82"/>
      <c r="R24" s="82"/>
      <c r="S24" s="82"/>
      <c r="T24" s="82"/>
      <c r="U24" s="82"/>
      <c r="V24" s="82"/>
      <c r="W24" s="82"/>
      <c r="X24" s="82"/>
      <c r="Y24" s="82"/>
      <c r="Z24" s="82"/>
      <c r="AA24" s="82"/>
      <c r="AB24" s="82"/>
      <c r="AC24" s="82"/>
      <c r="AD24" s="82"/>
      <c r="AE24" s="82"/>
      <c r="AF24" s="82"/>
      <c r="AG24" s="82"/>
      <c r="AH24" s="82"/>
      <c r="AI24" s="82"/>
    </row>
    <row r="25" spans="1:35">
      <c r="B25" s="77" t="s">
        <v>338</v>
      </c>
      <c r="C25" s="359">
        <f>Reinvestment!F22</f>
        <v>8096</v>
      </c>
      <c r="D25" s="359">
        <f>Reinvestment!G22</f>
        <v>8002</v>
      </c>
      <c r="E25" s="359">
        <f>Reinvestment!H22</f>
        <v>14073</v>
      </c>
      <c r="F25" s="359">
        <f>Reinvestment!I22</f>
        <v>18008</v>
      </c>
      <c r="G25" s="359">
        <f>Reinvestment!J22</f>
        <v>13074</v>
      </c>
      <c r="P25" s="82"/>
      <c r="Q25" s="82"/>
      <c r="R25" s="82"/>
      <c r="S25" s="82"/>
      <c r="T25" s="82"/>
      <c r="U25" s="82"/>
      <c r="V25" s="82"/>
      <c r="W25" s="82"/>
      <c r="X25" s="82"/>
      <c r="Y25" s="82"/>
      <c r="Z25" s="82"/>
      <c r="AA25" s="82"/>
      <c r="AB25" s="82"/>
      <c r="AC25" s="82"/>
      <c r="AD25" s="82"/>
      <c r="AE25" s="82"/>
      <c r="AF25" s="82"/>
      <c r="AG25" s="82"/>
      <c r="AH25" s="82"/>
      <c r="AI25" s="82"/>
    </row>
    <row r="26" spans="1:35">
      <c r="B26" s="77" t="s">
        <v>341</v>
      </c>
      <c r="C26" s="359">
        <f>'Balance Sheet'!C15</f>
        <v>12645</v>
      </c>
      <c r="D26" s="359">
        <f>'Balance Sheet'!D15</f>
        <v>12502</v>
      </c>
      <c r="E26" s="359">
        <f>'Balance Sheet'!E15</f>
        <v>11820</v>
      </c>
      <c r="F26" s="359">
        <f>'Balance Sheet'!F15</f>
        <v>10918</v>
      </c>
      <c r="G26" s="359">
        <f>'Balance Sheet'!G15</f>
        <v>10550</v>
      </c>
      <c r="P26" s="82"/>
      <c r="Q26" s="82"/>
      <c r="R26" s="82"/>
      <c r="S26" s="82"/>
      <c r="T26" s="82"/>
      <c r="U26" s="82"/>
      <c r="V26" s="82"/>
      <c r="W26" s="82"/>
      <c r="X26" s="82"/>
      <c r="Y26" s="82"/>
      <c r="Z26" s="82"/>
      <c r="AA26" s="82"/>
      <c r="AB26" s="82"/>
      <c r="AC26" s="82"/>
      <c r="AD26" s="82"/>
      <c r="AE26" s="82"/>
      <c r="AF26" s="82"/>
      <c r="AG26" s="82"/>
      <c r="AH26" s="82"/>
      <c r="AI26" s="82"/>
    </row>
    <row r="27" spans="1:35">
      <c r="B27" s="77" t="s">
        <v>339</v>
      </c>
      <c r="C27" s="359">
        <f>'Balance Sheet'!C16</f>
        <v>7840</v>
      </c>
      <c r="D27" s="359">
        <f>'Balance Sheet'!D16</f>
        <v>8060</v>
      </c>
      <c r="E27" s="359">
        <f>'Balance Sheet'!E16</f>
        <v>8081</v>
      </c>
      <c r="F27" s="359">
        <f>'Balance Sheet'!F16</f>
        <v>8068</v>
      </c>
      <c r="G27" s="359">
        <f>'Balance Sheet'!G16</f>
        <v>8057</v>
      </c>
      <c r="P27" s="82"/>
      <c r="Q27" s="82"/>
      <c r="R27" s="82"/>
      <c r="S27" s="82"/>
      <c r="T27" s="82"/>
      <c r="U27" s="82"/>
      <c r="V27" s="82"/>
      <c r="W27" s="82"/>
      <c r="X27" s="82"/>
      <c r="Y27" s="82"/>
      <c r="Z27" s="82"/>
      <c r="AA27" s="82"/>
      <c r="AB27" s="82"/>
      <c r="AC27" s="82"/>
      <c r="AD27" s="82"/>
      <c r="AE27" s="82"/>
      <c r="AF27" s="82"/>
      <c r="AG27" s="82"/>
      <c r="AH27" s="82"/>
      <c r="AI27" s="82"/>
    </row>
    <row r="28" spans="1:35">
      <c r="B28" s="77" t="s">
        <v>340</v>
      </c>
      <c r="C28" s="359">
        <f>'Balance Sheet'!C17</f>
        <v>3429</v>
      </c>
      <c r="D28" s="359">
        <f>'Balance Sheet'!D17</f>
        <v>3338</v>
      </c>
      <c r="E28" s="359">
        <f>'Balance Sheet'!E17</f>
        <v>2843</v>
      </c>
      <c r="F28" s="359">
        <f>'Balance Sheet'!F17</f>
        <v>2562</v>
      </c>
      <c r="G28" s="359">
        <f>'Balance Sheet'!G17</f>
        <v>2311</v>
      </c>
      <c r="P28" s="82"/>
      <c r="Q28" s="82"/>
      <c r="R28" s="82"/>
      <c r="S28" s="82"/>
      <c r="T28" s="82"/>
      <c r="U28" s="82"/>
      <c r="V28" s="82"/>
      <c r="W28" s="82"/>
      <c r="X28" s="82"/>
      <c r="Y28" s="82"/>
      <c r="Z28" s="82"/>
      <c r="AA28" s="82"/>
      <c r="AB28" s="82"/>
      <c r="AC28" s="82"/>
      <c r="AD28" s="82"/>
      <c r="AE28" s="82"/>
      <c r="AF28" s="82"/>
      <c r="AG28" s="82"/>
      <c r="AH28" s="82"/>
      <c r="AI28" s="82"/>
    </row>
    <row r="29" spans="1:35">
      <c r="B29" s="408" t="s">
        <v>346</v>
      </c>
      <c r="C29" s="359">
        <f>'Balance Sheet'!C20</f>
        <v>1826</v>
      </c>
      <c r="D29" s="359">
        <f>'Balance Sheet'!D20</f>
        <v>3585</v>
      </c>
      <c r="E29" s="359">
        <f>'Balance Sheet'!E20</f>
        <v>4712</v>
      </c>
      <c r="F29" s="359">
        <f>'Balance Sheet'!F20</f>
        <v>5591</v>
      </c>
      <c r="G29" s="359">
        <f>'Balance Sheet'!G20</f>
        <v>4163</v>
      </c>
      <c r="P29" s="82"/>
      <c r="Q29" s="82"/>
      <c r="R29" s="82"/>
      <c r="S29" s="82"/>
      <c r="T29" s="82"/>
      <c r="U29" s="82"/>
      <c r="V29" s="82"/>
      <c r="W29" s="82"/>
      <c r="X29" s="82"/>
      <c r="Y29" s="82"/>
      <c r="Z29" s="82"/>
      <c r="AA29" s="82"/>
      <c r="AB29" s="82"/>
      <c r="AC29" s="82"/>
      <c r="AD29" s="82"/>
      <c r="AE29" s="82"/>
      <c r="AF29" s="82"/>
      <c r="AG29" s="82"/>
      <c r="AH29" s="82"/>
      <c r="AI29" s="82"/>
    </row>
    <row r="30" spans="1:35">
      <c r="B30" s="77" t="s">
        <v>168</v>
      </c>
      <c r="C30" s="359">
        <f>C15</f>
        <v>3269</v>
      </c>
      <c r="D30" s="359">
        <f>D15</f>
        <v>3219</v>
      </c>
      <c r="E30" s="359">
        <f>E15</f>
        <v>2476</v>
      </c>
      <c r="F30" s="359">
        <f>F15</f>
        <v>2249</v>
      </c>
      <c r="G30" s="359">
        <f>G15</f>
        <v>2852</v>
      </c>
      <c r="P30" s="82"/>
      <c r="Q30" s="82"/>
      <c r="R30" s="82"/>
      <c r="S30" s="82"/>
      <c r="T30" s="82"/>
      <c r="U30" s="82"/>
      <c r="V30" s="82"/>
      <c r="W30" s="82"/>
      <c r="X30" s="82"/>
      <c r="Y30" s="82"/>
      <c r="Z30" s="82"/>
      <c r="AA30" s="82"/>
      <c r="AB30" s="82"/>
      <c r="AC30" s="82"/>
      <c r="AD30" s="82"/>
      <c r="AE30" s="82"/>
      <c r="AF30" s="82"/>
      <c r="AG30" s="82"/>
      <c r="AH30" s="82"/>
      <c r="AI30" s="82"/>
    </row>
    <row r="31" spans="1:35">
      <c r="B31" s="356" t="s">
        <v>344</v>
      </c>
      <c r="C31" s="359">
        <f>-C14</f>
        <v>0</v>
      </c>
      <c r="D31" s="359">
        <f>-D14</f>
        <v>-3269</v>
      </c>
      <c r="E31" s="359">
        <f>-E14</f>
        <v>-3244</v>
      </c>
      <c r="F31" s="359">
        <f>-F14</f>
        <v>-2988.0000000000005</v>
      </c>
      <c r="G31" s="359">
        <f>-G14</f>
        <v>-2803.25</v>
      </c>
      <c r="P31" s="82"/>
      <c r="Q31" s="82"/>
      <c r="R31" s="82"/>
      <c r="S31" s="82"/>
      <c r="T31" s="82"/>
      <c r="U31" s="82"/>
      <c r="V31" s="82"/>
      <c r="W31" s="82"/>
      <c r="X31" s="82"/>
      <c r="Y31" s="82"/>
      <c r="Z31" s="82"/>
      <c r="AA31" s="82"/>
      <c r="AB31" s="82"/>
      <c r="AC31" s="82"/>
      <c r="AD31" s="82"/>
      <c r="AE31" s="82"/>
      <c r="AF31" s="82"/>
      <c r="AG31" s="82"/>
      <c r="AH31" s="82"/>
      <c r="AI31" s="82"/>
    </row>
    <row r="32" spans="1:35">
      <c r="B32" s="354" t="s">
        <v>73</v>
      </c>
      <c r="C32" s="365">
        <f>SUM(C25:C31)</f>
        <v>37105</v>
      </c>
      <c r="D32" s="365">
        <f>SUM(D25:D31)</f>
        <v>35437</v>
      </c>
      <c r="E32" s="365">
        <f>SUM(E25:E31)</f>
        <v>40761</v>
      </c>
      <c r="F32" s="365">
        <f>SUM(F25:F31)</f>
        <v>44408</v>
      </c>
      <c r="G32" s="365">
        <f>SUM(G25:G31)</f>
        <v>38203.75</v>
      </c>
      <c r="P32" s="82"/>
      <c r="Q32" s="82"/>
      <c r="R32" s="82"/>
      <c r="S32" s="82"/>
      <c r="T32" s="82"/>
      <c r="U32" s="82"/>
      <c r="V32" s="82"/>
      <c r="W32" s="82"/>
      <c r="X32" s="82"/>
      <c r="Y32" s="82"/>
      <c r="Z32" s="82"/>
      <c r="AA32" s="82"/>
      <c r="AB32" s="82"/>
      <c r="AC32" s="82"/>
      <c r="AD32" s="82"/>
      <c r="AE32" s="82"/>
      <c r="AF32" s="82"/>
      <c r="AG32" s="82"/>
      <c r="AH32" s="82"/>
      <c r="AI32" s="82"/>
    </row>
    <row r="33" spans="2:35" ht="12.75" customHeight="1">
      <c r="P33" s="82"/>
      <c r="Q33" s="82"/>
      <c r="R33" s="82"/>
      <c r="S33" s="82"/>
      <c r="T33" s="82"/>
      <c r="U33" s="82"/>
      <c r="V33" s="82"/>
      <c r="W33" s="82"/>
      <c r="X33" s="82"/>
      <c r="Y33" s="82"/>
      <c r="Z33" s="82"/>
      <c r="AA33" s="82"/>
      <c r="AB33" s="82"/>
      <c r="AC33" s="82"/>
      <c r="AD33" s="82"/>
      <c r="AE33" s="82"/>
      <c r="AF33" s="82"/>
      <c r="AG33" s="82"/>
      <c r="AH33" s="82"/>
      <c r="AI33" s="82"/>
    </row>
    <row r="34" spans="2:35">
      <c r="B34" s="348" t="s">
        <v>376</v>
      </c>
      <c r="C34" s="347"/>
      <c r="D34" s="347"/>
      <c r="E34" s="347"/>
      <c r="F34" s="347"/>
      <c r="G34" s="347"/>
      <c r="P34" s="82"/>
      <c r="Q34" s="82"/>
      <c r="R34" s="82"/>
      <c r="S34" s="82"/>
      <c r="T34" s="82"/>
      <c r="U34" s="82"/>
      <c r="V34" s="82"/>
      <c r="W34" s="82"/>
      <c r="X34" s="82"/>
      <c r="Y34" s="82"/>
      <c r="Z34" s="82"/>
      <c r="AA34" s="82"/>
      <c r="AB34" s="82"/>
      <c r="AC34" s="82"/>
      <c r="AD34" s="82"/>
      <c r="AE34" s="82"/>
      <c r="AF34" s="82"/>
      <c r="AG34" s="82"/>
      <c r="AH34" s="82"/>
      <c r="AI34" s="82"/>
    </row>
    <row r="35" spans="2:35" ht="12.75" thickBot="1">
      <c r="B35" s="349" t="str">
        <f>Drivers!$C$5&amp;" in mil"</f>
        <v>$ in mil</v>
      </c>
      <c r="C35" s="367">
        <v>43101</v>
      </c>
      <c r="D35" s="367">
        <f>EDATE(C35,12)</f>
        <v>43466</v>
      </c>
      <c r="E35" s="367">
        <f>EDATE(D35,12)</f>
        <v>43831</v>
      </c>
      <c r="F35" s="367">
        <f>EDATE(E35,12)</f>
        <v>44197</v>
      </c>
      <c r="G35" s="367">
        <f>EDATE(F35,12)</f>
        <v>44562</v>
      </c>
      <c r="P35" s="82"/>
      <c r="Q35" s="82"/>
      <c r="R35" s="82"/>
      <c r="S35" s="82"/>
      <c r="T35" s="82"/>
      <c r="U35" s="82"/>
      <c r="V35" s="82"/>
      <c r="W35" s="82"/>
      <c r="X35" s="82"/>
      <c r="Y35" s="82"/>
      <c r="Z35" s="82"/>
      <c r="AA35" s="82"/>
      <c r="AB35" s="82"/>
      <c r="AC35" s="82"/>
      <c r="AD35" s="82"/>
      <c r="AE35" s="82"/>
      <c r="AF35" s="82"/>
      <c r="AG35" s="82"/>
      <c r="AH35" s="82"/>
      <c r="AI35" s="82"/>
    </row>
    <row r="36" spans="2:35">
      <c r="B36" s="77" t="s">
        <v>342</v>
      </c>
      <c r="C36" s="359">
        <f>'Balance Sheet'!C31</f>
        <v>10657</v>
      </c>
      <c r="D36" s="359">
        <f>'Balance Sheet'!D31</f>
        <v>19962</v>
      </c>
      <c r="E36" s="359">
        <f>'Balance Sheet'!E31</f>
        <v>61890</v>
      </c>
      <c r="F36" s="359">
        <f>'Balance Sheet'!F31</f>
        <v>56806</v>
      </c>
      <c r="G36" s="359">
        <f>'Balance Sheet'!G31</f>
        <v>51811</v>
      </c>
      <c r="P36" s="82"/>
      <c r="Q36" s="82"/>
      <c r="R36" s="82"/>
      <c r="S36" s="82"/>
      <c r="T36" s="82"/>
      <c r="U36" s="82"/>
      <c r="V36" s="82"/>
      <c r="W36" s="82"/>
      <c r="X36" s="82"/>
      <c r="Y36" s="82"/>
      <c r="Z36" s="82"/>
      <c r="AA36" s="82"/>
      <c r="AB36" s="82"/>
      <c r="AC36" s="82"/>
      <c r="AD36" s="82"/>
      <c r="AE36" s="82"/>
      <c r="AF36" s="82"/>
      <c r="AG36" s="82"/>
      <c r="AH36" s="82"/>
      <c r="AI36" s="82"/>
    </row>
    <row r="37" spans="2:35">
      <c r="B37" s="77" t="s">
        <v>708</v>
      </c>
      <c r="C37" s="359">
        <f>'Balance Sheet'!C26</f>
        <v>3190</v>
      </c>
      <c r="D37" s="359">
        <f>'Balance Sheet'!D26</f>
        <v>7340</v>
      </c>
      <c r="E37" s="359">
        <f>'Balance Sheet'!E26</f>
        <v>1693</v>
      </c>
      <c r="F37" s="359">
        <f>'Balance Sheet'!F26</f>
        <v>1296</v>
      </c>
      <c r="G37" s="359">
        <f>'Balance Sheet'!G26</f>
        <v>5190</v>
      </c>
      <c r="P37" s="82"/>
      <c r="Q37" s="82"/>
      <c r="R37" s="82"/>
      <c r="S37" s="82"/>
      <c r="T37" s="82"/>
      <c r="U37" s="82"/>
      <c r="V37" s="82"/>
      <c r="W37" s="82"/>
      <c r="X37" s="82"/>
      <c r="Y37" s="82"/>
      <c r="Z37" s="82"/>
      <c r="AA37" s="82"/>
      <c r="AB37" s="82"/>
      <c r="AC37" s="82"/>
      <c r="AD37" s="82"/>
      <c r="AE37" s="82"/>
      <c r="AF37" s="82"/>
      <c r="AG37" s="82"/>
      <c r="AH37" s="82"/>
      <c r="AI37" s="82"/>
    </row>
    <row r="38" spans="2:35">
      <c r="B38" s="77" t="s">
        <v>345</v>
      </c>
      <c r="C38" s="359">
        <f>'Balance Sheet'!C32</f>
        <v>3059</v>
      </c>
      <c r="D38" s="359">
        <f>'Balance Sheet'!D32</f>
        <v>3422</v>
      </c>
      <c r="E38" s="359">
        <f>'Balance Sheet'!E32</f>
        <v>1486</v>
      </c>
      <c r="F38" s="359">
        <f>'Balance Sheet'!F32</f>
        <v>1750</v>
      </c>
      <c r="G38" s="359">
        <f>'Balance Sheet'!G32</f>
        <v>2211</v>
      </c>
      <c r="P38" s="82"/>
      <c r="Q38" s="82"/>
      <c r="R38" s="82"/>
      <c r="S38" s="82"/>
      <c r="T38" s="82"/>
      <c r="U38" s="82"/>
      <c r="V38" s="82"/>
      <c r="W38" s="82"/>
      <c r="X38" s="82"/>
      <c r="Y38" s="82"/>
      <c r="Z38" s="82"/>
      <c r="AA38" s="82"/>
      <c r="AB38" s="82"/>
      <c r="AC38" s="82"/>
      <c r="AD38" s="82"/>
      <c r="AE38" s="82"/>
      <c r="AF38" s="82"/>
      <c r="AG38" s="82"/>
      <c r="AH38" s="82"/>
      <c r="AI38" s="82"/>
    </row>
    <row r="39" spans="2:35">
      <c r="B39" s="77" t="s">
        <v>343</v>
      </c>
      <c r="C39" s="359">
        <f>'Balance Sheet'!C42</f>
        <v>339</v>
      </c>
      <c r="D39" s="359">
        <f>'Balance Sheet'!D42</f>
        <v>-8617</v>
      </c>
      <c r="E39" s="359">
        <f>'Balance Sheet'!E42</f>
        <v>-18316</v>
      </c>
      <c r="F39" s="359">
        <f>'Balance Sheet'!F42</f>
        <v>-14999</v>
      </c>
      <c r="G39" s="359">
        <f>'Balance Sheet'!G42</f>
        <v>-15883</v>
      </c>
      <c r="P39" s="82"/>
      <c r="Q39" s="82"/>
      <c r="R39" s="82"/>
      <c r="S39" s="82"/>
      <c r="T39" s="82"/>
      <c r="U39" s="82"/>
      <c r="V39" s="82"/>
      <c r="W39" s="82"/>
      <c r="X39" s="82"/>
      <c r="Y39" s="82"/>
      <c r="Z39" s="82"/>
      <c r="AA39" s="82"/>
      <c r="AB39" s="82"/>
      <c r="AC39" s="82"/>
      <c r="AD39" s="82"/>
      <c r="AE39" s="82"/>
      <c r="AF39" s="82"/>
      <c r="AG39" s="82"/>
      <c r="AH39" s="82"/>
      <c r="AI39" s="82"/>
    </row>
    <row r="40" spans="2:35">
      <c r="B40" s="354" t="s">
        <v>73</v>
      </c>
      <c r="C40" s="365">
        <f>SUM(C36:C39)</f>
        <v>17245</v>
      </c>
      <c r="D40" s="365">
        <f>SUM(D36:D39)</f>
        <v>22107</v>
      </c>
      <c r="E40" s="365">
        <f>SUM(E36:E39)</f>
        <v>46753</v>
      </c>
      <c r="F40" s="365">
        <f>SUM(F36:F39)</f>
        <v>44853</v>
      </c>
      <c r="G40" s="365">
        <f>SUM(G36:G39)</f>
        <v>43329</v>
      </c>
      <c r="P40" s="82"/>
      <c r="Q40" s="82"/>
      <c r="R40" s="82"/>
      <c r="S40" s="82"/>
      <c r="T40" s="82"/>
      <c r="U40" s="82"/>
      <c r="V40" s="82"/>
      <c r="W40" s="82"/>
      <c r="X40" s="82"/>
      <c r="Y40" s="82"/>
      <c r="Z40" s="82"/>
      <c r="AA40" s="82"/>
      <c r="AB40" s="82"/>
      <c r="AC40" s="82"/>
      <c r="AD40" s="82"/>
      <c r="AE40" s="82"/>
      <c r="AF40" s="82"/>
      <c r="AG40" s="82"/>
      <c r="AH40" s="82"/>
      <c r="AI40" s="82"/>
    </row>
    <row r="41" spans="2:35">
      <c r="P41" s="82"/>
      <c r="Q41" s="82"/>
      <c r="R41" s="82"/>
      <c r="S41" s="82"/>
      <c r="T41" s="82"/>
      <c r="U41" s="82"/>
      <c r="V41" s="82"/>
      <c r="W41" s="82"/>
      <c r="X41" s="82"/>
      <c r="Y41" s="82"/>
      <c r="Z41" s="82"/>
      <c r="AA41" s="82"/>
      <c r="AB41" s="82"/>
      <c r="AC41" s="82"/>
      <c r="AD41" s="82"/>
      <c r="AE41" s="82"/>
      <c r="AF41" s="82"/>
      <c r="AG41" s="82"/>
      <c r="AH41" s="82"/>
      <c r="AI41" s="82"/>
    </row>
    <row r="42" spans="2:35">
      <c r="B42" s="102" t="s">
        <v>183</v>
      </c>
      <c r="C42" s="232">
        <f>C19/C5</f>
        <v>0.14902053853075836</v>
      </c>
      <c r="D42" s="232">
        <f>D19/D5</f>
        <v>-3.542366018364921E-2</v>
      </c>
      <c r="E42" s="232">
        <f>E19/E5</f>
        <v>-0.23635613329206645</v>
      </c>
      <c r="F42" s="232">
        <f>F19/F5</f>
        <v>-6.6274925344379149E-2</v>
      </c>
      <c r="G42" s="232">
        <f>G19/G5</f>
        <v>-5.2369835455200575E-2</v>
      </c>
    </row>
    <row r="43" spans="2:35">
      <c r="B43" s="102" t="s">
        <v>199</v>
      </c>
      <c r="C43" s="232">
        <f>C21/C32</f>
        <v>0.36609885460180569</v>
      </c>
      <c r="D43" s="232">
        <f>D21/D32</f>
        <v>-6.8984304540452068E-2</v>
      </c>
      <c r="E43" s="232">
        <f>E21/E32</f>
        <v>-0.30398283653492308</v>
      </c>
      <c r="F43" s="232">
        <f>F21/F32</f>
        <v>-8.3790740407133843E-2</v>
      </c>
      <c r="G43" s="232">
        <f>G21/G32</f>
        <v>-8.230366259856689E-2</v>
      </c>
    </row>
    <row r="44" spans="2:35">
      <c r="B44" s="102" t="s">
        <v>296</v>
      </c>
      <c r="C44" s="197">
        <f>(C36+C37)/C39</f>
        <v>40.846607669616517</v>
      </c>
      <c r="D44" s="197">
        <f>(D36+D37)/D39</f>
        <v>-3.1683880700940001</v>
      </c>
      <c r="E44" s="197">
        <f>(E36+E37)/E39</f>
        <v>-3.4714457305088446</v>
      </c>
      <c r="F44" s="197">
        <f>(F36+F37)/F39</f>
        <v>-3.8737249149943329</v>
      </c>
      <c r="G44" s="197">
        <f>(G36+G37)/G39</f>
        <v>-3.5888056412516529</v>
      </c>
    </row>
    <row r="45" spans="2:35">
      <c r="B45" s="102" t="s">
        <v>71</v>
      </c>
      <c r="C45" s="197">
        <f>C5/C32</f>
        <v>2.7254278399137584</v>
      </c>
      <c r="D45" s="197">
        <f>D5/D32</f>
        <v>2.1604255439230182</v>
      </c>
      <c r="E45" s="197">
        <f>E5/E32</f>
        <v>1.4268050342238905</v>
      </c>
      <c r="F45" s="197">
        <f>F5/F32</f>
        <v>1.4025851197982346</v>
      </c>
      <c r="G45" s="197">
        <f>G5/G32</f>
        <v>1.7434937669731374</v>
      </c>
      <c r="H45" s="117"/>
    </row>
    <row r="47" spans="2:35">
      <c r="B47" s="82" t="s">
        <v>200</v>
      </c>
      <c r="C47" s="355">
        <f>MEDIAN(D42:G42)</f>
        <v>-5.9322380399789862E-2</v>
      </c>
    </row>
    <row r="48" spans="2:35">
      <c r="B48" s="351" t="s">
        <v>201</v>
      </c>
      <c r="C48" s="352">
        <f>G5*C47</f>
        <v>-3951.3451136692033</v>
      </c>
      <c r="D48" s="117"/>
      <c r="F48" s="117"/>
      <c r="G48" s="11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77" customWidth="1"/>
    <col min="2" max="2" width="30.42578125" style="77" customWidth="1"/>
    <col min="3" max="3" width="12" style="77" customWidth="1"/>
    <col min="4" max="4" width="9.85546875" style="77" customWidth="1"/>
    <col min="5" max="5" width="29.28515625" style="77" customWidth="1"/>
    <col min="6" max="6" width="11.7109375" style="77" customWidth="1" collapsed="1"/>
    <col min="7" max="10" width="11.7109375" style="77" customWidth="1"/>
    <col min="11" max="11" width="10.85546875" style="77" customWidth="1"/>
    <col min="12" max="12" width="9.5703125" style="77" customWidth="1"/>
    <col min="13"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50</v>
      </c>
      <c r="C1" s="75"/>
      <c r="D1" s="75"/>
      <c r="E1" s="75"/>
      <c r="F1" s="75"/>
      <c r="G1" s="75"/>
      <c r="H1" s="75"/>
      <c r="I1" s="75"/>
      <c r="J1" s="75"/>
      <c r="K1" s="75"/>
    </row>
    <row r="2" spans="1:31" ht="12.75" customHeight="1">
      <c r="C2" s="89"/>
    </row>
    <row r="3" spans="1:31">
      <c r="B3" s="348" t="s">
        <v>379</v>
      </c>
      <c r="C3" s="347"/>
      <c r="E3" s="348" t="s">
        <v>380</v>
      </c>
      <c r="F3" s="347"/>
      <c r="G3" s="347"/>
      <c r="H3" s="347"/>
      <c r="I3" s="347"/>
      <c r="J3" s="347"/>
      <c r="K3" s="347"/>
      <c r="L3" s="174"/>
    </row>
    <row r="4" spans="1:31" ht="12.75" thickBot="1">
      <c r="B4" s="349" t="str">
        <f>Drivers!$C$5&amp;" in mil"</f>
        <v>$ in mil</v>
      </c>
      <c r="C4" s="367"/>
      <c r="E4" s="349" t="str">
        <f>Drivers!$C$5&amp;" in mil"</f>
        <v>$ in mil</v>
      </c>
      <c r="F4" s="367">
        <v>43101</v>
      </c>
      <c r="G4" s="367">
        <f>EDATE(F4,12)</f>
        <v>43466</v>
      </c>
      <c r="H4" s="367">
        <f>EDATE(G4,12)</f>
        <v>43831</v>
      </c>
      <c r="I4" s="367">
        <f>EDATE(H4,12)</f>
        <v>44197</v>
      </c>
      <c r="J4" s="367">
        <f>EDATE(I4,12)</f>
        <v>44562</v>
      </c>
      <c r="K4" s="367"/>
      <c r="L4" s="81"/>
      <c r="N4" s="81"/>
      <c r="O4" s="81"/>
      <c r="P4" s="81"/>
      <c r="Q4" s="81"/>
      <c r="R4" s="81"/>
      <c r="S4" s="81"/>
      <c r="X4" s="81"/>
    </row>
    <row r="5" spans="1:31">
      <c r="A5" s="79"/>
      <c r="B5" s="77" t="s">
        <v>45</v>
      </c>
      <c r="C5" s="379">
        <f>K5</f>
        <v>1187</v>
      </c>
      <c r="E5" s="84" t="s">
        <v>164</v>
      </c>
      <c r="F5" s="377">
        <f>(-'Cash Flow Statement'!C32-'Cash Flow Statement'!C33)</f>
        <v>1602</v>
      </c>
      <c r="G5" s="377">
        <f>(-'Cash Flow Statement'!D32-'Cash Flow Statement'!D33)</f>
        <v>1500</v>
      </c>
      <c r="H5" s="377">
        <f>(-'Cash Flow Statement'!E32-'Cash Flow Statement'!E33)</f>
        <v>1007</v>
      </c>
      <c r="I5" s="377">
        <f>(-'Cash Flow Statement'!F32-'Cash Flow Statement'!F33)</f>
        <v>451</v>
      </c>
      <c r="J5" s="377">
        <f>(-'Cash Flow Statement'!G32-'Cash Flow Statement'!G33)</f>
        <v>1187</v>
      </c>
      <c r="K5" s="391">
        <f>MEDIAN(F5:J5)</f>
        <v>1187</v>
      </c>
      <c r="L5" s="82"/>
      <c r="M5" s="82"/>
      <c r="N5" s="82"/>
      <c r="O5" s="82"/>
      <c r="P5" s="82"/>
      <c r="Q5" s="82"/>
      <c r="R5" s="82"/>
      <c r="S5" s="82"/>
      <c r="T5" s="82"/>
      <c r="U5" s="82"/>
      <c r="V5" s="82"/>
      <c r="W5" s="82"/>
      <c r="X5" s="82"/>
      <c r="Y5" s="82"/>
      <c r="Z5" s="82"/>
      <c r="AA5" s="82"/>
      <c r="AB5" s="82"/>
      <c r="AC5" s="82"/>
    </row>
    <row r="6" spans="1:31">
      <c r="A6" s="84"/>
      <c r="B6" s="358" t="s">
        <v>2</v>
      </c>
      <c r="C6" s="359">
        <f>-K6</f>
        <v>-2144</v>
      </c>
      <c r="D6" s="85"/>
      <c r="E6" s="84" t="s">
        <v>165</v>
      </c>
      <c r="F6" s="377">
        <f>'Cash Flow Statement'!C10</f>
        <v>2114</v>
      </c>
      <c r="G6" s="377">
        <f>'Cash Flow Statement'!D10</f>
        <v>2271</v>
      </c>
      <c r="H6" s="377">
        <f>'Cash Flow Statement'!E10</f>
        <v>2246</v>
      </c>
      <c r="I6" s="377">
        <f>'Cash Flow Statement'!F10</f>
        <v>2144</v>
      </c>
      <c r="J6" s="377">
        <f>'Cash Flow Statement'!G10</f>
        <v>1979</v>
      </c>
      <c r="K6" s="391">
        <f>MEDIAN(F6:J6)</f>
        <v>2144</v>
      </c>
      <c r="L6" s="242"/>
      <c r="M6" s="82"/>
      <c r="N6" s="82"/>
      <c r="O6" s="82"/>
      <c r="P6" s="82"/>
      <c r="Q6" s="82"/>
      <c r="R6" s="82"/>
      <c r="S6" s="82"/>
      <c r="T6" s="82"/>
      <c r="U6" s="82"/>
      <c r="V6" s="82"/>
      <c r="W6" s="82"/>
      <c r="X6" s="82"/>
      <c r="Y6" s="82"/>
      <c r="Z6" s="82"/>
      <c r="AA6" s="82"/>
      <c r="AB6" s="82"/>
      <c r="AC6" s="82"/>
    </row>
    <row r="7" spans="1:31">
      <c r="A7" s="84"/>
      <c r="B7" s="380" t="s">
        <v>44</v>
      </c>
      <c r="C7" s="381">
        <f>C5+C6</f>
        <v>-957</v>
      </c>
      <c r="E7" s="84" t="s">
        <v>166</v>
      </c>
      <c r="F7" s="364">
        <f>F6/F5</f>
        <v>1.3196004993757802</v>
      </c>
      <c r="G7" s="364">
        <f>G6/G5</f>
        <v>1.514</v>
      </c>
      <c r="H7" s="364">
        <f>H6/H5</f>
        <v>2.2303872889771599</v>
      </c>
      <c r="I7" s="364">
        <f>I6/I5</f>
        <v>4.7538802660753881</v>
      </c>
      <c r="J7" s="364">
        <f>J6/J5</f>
        <v>1.6672283066554339</v>
      </c>
      <c r="K7" s="51"/>
      <c r="L7" s="82"/>
      <c r="M7" s="82"/>
      <c r="N7" s="82"/>
      <c r="O7" s="82"/>
      <c r="P7" s="82"/>
      <c r="Q7" s="82"/>
      <c r="R7" s="82"/>
      <c r="S7" s="82"/>
      <c r="T7" s="82"/>
      <c r="U7" s="82"/>
      <c r="V7" s="82"/>
      <c r="W7" s="82"/>
      <c r="X7" s="82"/>
      <c r="Y7" s="82"/>
      <c r="Z7" s="82"/>
      <c r="AA7" s="82"/>
      <c r="AB7" s="82"/>
      <c r="AC7" s="82"/>
    </row>
    <row r="8" spans="1:31">
      <c r="A8" s="84"/>
      <c r="B8" s="77" t="s">
        <v>167</v>
      </c>
      <c r="C8" s="379">
        <f>K8</f>
        <v>738.2</v>
      </c>
      <c r="E8" s="84" t="s">
        <v>167</v>
      </c>
      <c r="F8" s="377">
        <f>-'Cash Flow Statement'!C34</f>
        <v>3230</v>
      </c>
      <c r="G8" s="377">
        <f>-'Cash Flow Statement'!D34</f>
        <v>455</v>
      </c>
      <c r="H8" s="377">
        <f>-'Cash Flow Statement'!E34</f>
        <v>0</v>
      </c>
      <c r="I8" s="377">
        <f>-'Cash Flow Statement'!F34</f>
        <v>6</v>
      </c>
      <c r="J8" s="377">
        <f>-'Cash Flow Statement'!G34</f>
        <v>0</v>
      </c>
      <c r="K8" s="392">
        <f>AVERAGE(F8:J8)</f>
        <v>738.2</v>
      </c>
      <c r="L8" s="82"/>
      <c r="M8" s="82"/>
      <c r="N8" s="82"/>
      <c r="O8" s="82"/>
      <c r="P8" s="82"/>
      <c r="Q8" s="82"/>
      <c r="R8" s="82"/>
      <c r="S8" s="82"/>
      <c r="T8" s="82"/>
      <c r="U8" s="82"/>
      <c r="V8" s="82"/>
      <c r="W8" s="82"/>
      <c r="X8" s="82"/>
      <c r="Y8" s="82"/>
      <c r="Z8" s="82"/>
      <c r="AA8" s="82"/>
      <c r="AB8" s="82"/>
      <c r="AC8" s="82"/>
    </row>
    <row r="9" spans="1:31">
      <c r="A9" s="84"/>
      <c r="B9" s="77" t="s">
        <v>168</v>
      </c>
      <c r="C9" s="379">
        <f>'Accounting Adjustments'!G15</f>
        <v>2852</v>
      </c>
      <c r="F9" s="241"/>
      <c r="G9" s="241"/>
      <c r="H9" s="387"/>
      <c r="I9" s="387"/>
      <c r="J9" s="387"/>
      <c r="L9" s="82"/>
      <c r="M9" s="82"/>
      <c r="N9" s="82"/>
      <c r="O9" s="82"/>
      <c r="P9" s="82"/>
      <c r="Q9" s="82"/>
      <c r="R9" s="82"/>
      <c r="S9" s="82"/>
      <c r="T9" s="82"/>
      <c r="U9" s="82"/>
      <c r="V9" s="82"/>
      <c r="W9" s="82"/>
      <c r="X9" s="82"/>
      <c r="Y9" s="82"/>
      <c r="Z9" s="82"/>
      <c r="AA9" s="82"/>
      <c r="AB9" s="82"/>
      <c r="AC9" s="82"/>
      <c r="AD9" s="82"/>
      <c r="AE9" s="82"/>
    </row>
    <row r="10" spans="1:31">
      <c r="A10" s="86"/>
      <c r="B10" s="356" t="s">
        <v>169</v>
      </c>
      <c r="C10" s="379">
        <f>-'Accounting Adjustments'!G14</f>
        <v>-2803.25</v>
      </c>
      <c r="E10" s="348" t="s">
        <v>381</v>
      </c>
      <c r="F10" s="347"/>
      <c r="G10" s="347"/>
      <c r="H10" s="347"/>
      <c r="I10" s="347"/>
      <c r="J10" s="347"/>
      <c r="K10" s="82"/>
      <c r="L10" s="82"/>
      <c r="M10" s="82"/>
      <c r="N10" s="82"/>
      <c r="O10" s="82"/>
      <c r="P10" s="82"/>
      <c r="Q10" s="82"/>
      <c r="R10" s="82"/>
      <c r="S10" s="82"/>
      <c r="T10" s="82"/>
      <c r="U10" s="82"/>
      <c r="V10" s="82"/>
      <c r="W10" s="82"/>
      <c r="X10" s="82"/>
      <c r="Y10" s="82"/>
      <c r="Z10" s="82"/>
      <c r="AA10" s="82"/>
      <c r="AB10" s="82"/>
      <c r="AC10" s="82"/>
    </row>
    <row r="11" spans="1:31" ht="12.75" thickBot="1">
      <c r="A11" s="84"/>
      <c r="B11" s="351" t="s">
        <v>182</v>
      </c>
      <c r="C11" s="374">
        <f>SUM(C7:C10)</f>
        <v>-170.05000000000018</v>
      </c>
      <c r="E11" s="349" t="str">
        <f>Drivers!$C$5&amp;" in mil"</f>
        <v>$ in mil</v>
      </c>
      <c r="F11" s="367">
        <v>43101</v>
      </c>
      <c r="G11" s="367">
        <f>EDATE(F11,12)</f>
        <v>43466</v>
      </c>
      <c r="H11" s="367">
        <f>EDATE(G11,12)</f>
        <v>43831</v>
      </c>
      <c r="I11" s="367">
        <f>EDATE(H11,12)</f>
        <v>44197</v>
      </c>
      <c r="J11" s="367">
        <f>EDATE(I11,12)</f>
        <v>44562</v>
      </c>
      <c r="K11" s="82"/>
      <c r="L11" s="82"/>
      <c r="M11" s="82"/>
      <c r="N11" s="82"/>
      <c r="O11" s="82"/>
      <c r="P11" s="82"/>
      <c r="Q11" s="82"/>
      <c r="R11" s="82"/>
      <c r="S11" s="82"/>
      <c r="T11" s="82"/>
      <c r="U11" s="82"/>
      <c r="V11" s="82"/>
      <c r="W11" s="82"/>
      <c r="X11" s="82"/>
      <c r="Y11" s="82"/>
      <c r="Z11" s="82"/>
      <c r="AA11" s="82"/>
      <c r="AB11" s="82"/>
      <c r="AC11" s="82"/>
    </row>
    <row r="12" spans="1:31">
      <c r="A12" s="86"/>
      <c r="E12" s="84" t="s">
        <v>59</v>
      </c>
      <c r="F12" s="377">
        <f>'Balance Sheet'!C8</f>
        <v>3879</v>
      </c>
      <c r="G12" s="377">
        <f>'Balance Sheet'!D8</f>
        <v>3266</v>
      </c>
      <c r="H12" s="377">
        <f>'Balance Sheet'!E8</f>
        <v>1955</v>
      </c>
      <c r="I12" s="377">
        <f>'Balance Sheet'!F8</f>
        <v>2641</v>
      </c>
      <c r="J12" s="377">
        <f>'Balance Sheet'!G8</f>
        <v>2517</v>
      </c>
      <c r="K12" s="82"/>
      <c r="L12" s="82"/>
      <c r="M12" s="82"/>
      <c r="N12" s="82"/>
      <c r="O12" s="82"/>
      <c r="P12" s="82"/>
      <c r="Q12" s="82"/>
      <c r="R12" s="82"/>
      <c r="S12" s="82"/>
      <c r="T12" s="82"/>
      <c r="U12" s="82"/>
      <c r="V12" s="82"/>
      <c r="W12" s="82"/>
      <c r="X12" s="82"/>
      <c r="Y12" s="82"/>
      <c r="Z12" s="82"/>
      <c r="AA12" s="82"/>
      <c r="AB12" s="82"/>
      <c r="AC12" s="82"/>
    </row>
    <row r="13" spans="1:31">
      <c r="A13" s="84"/>
      <c r="B13" s="348" t="s">
        <v>47</v>
      </c>
      <c r="C13" s="347"/>
      <c r="E13" s="84" t="s">
        <v>709</v>
      </c>
      <c r="F13" s="377">
        <f>'Balance Sheet'!C9</f>
        <v>10025</v>
      </c>
      <c r="G13" s="377">
        <f>'Balance Sheet'!D9</f>
        <v>9043</v>
      </c>
      <c r="H13" s="377">
        <f>'Balance Sheet'!E9</f>
        <v>7995</v>
      </c>
      <c r="I13" s="377">
        <f>'Balance Sheet'!F9</f>
        <v>8620</v>
      </c>
      <c r="J13" s="377">
        <f>'Balance Sheet'!G9</f>
        <v>8634</v>
      </c>
      <c r="K13" s="82"/>
      <c r="L13" s="82"/>
      <c r="M13" s="82"/>
      <c r="N13" s="82"/>
      <c r="O13" s="82"/>
      <c r="P13" s="82"/>
      <c r="Q13" s="82"/>
      <c r="R13" s="82"/>
      <c r="S13" s="82"/>
      <c r="T13" s="82"/>
      <c r="U13" s="82"/>
      <c r="V13" s="82"/>
      <c r="W13" s="82"/>
      <c r="X13" s="82"/>
      <c r="Y13" s="82"/>
      <c r="Z13" s="82"/>
      <c r="AA13" s="82"/>
      <c r="AB13" s="82"/>
      <c r="AC13" s="82"/>
    </row>
    <row r="14" spans="1:31" ht="12.75" thickBot="1">
      <c r="B14" s="349" t="str">
        <f>Drivers!$C$5&amp;" in mil"</f>
        <v>$ in mil</v>
      </c>
      <c r="C14" s="367"/>
      <c r="D14" s="82"/>
      <c r="E14" s="84" t="s">
        <v>696</v>
      </c>
      <c r="F14" s="377">
        <f>'Balance Sheet'!C11</f>
        <v>62567</v>
      </c>
      <c r="G14" s="377">
        <f>'Balance Sheet'!D11</f>
        <v>76622</v>
      </c>
      <c r="H14" s="377">
        <f>'Balance Sheet'!E11</f>
        <v>81715</v>
      </c>
      <c r="I14" s="377">
        <f>'Balance Sheet'!F11</f>
        <v>78823</v>
      </c>
      <c r="J14" s="377">
        <f>'Balance Sheet'!G11</f>
        <v>78151</v>
      </c>
      <c r="K14" s="82"/>
      <c r="L14" s="82"/>
      <c r="M14" s="82"/>
      <c r="N14" s="82"/>
      <c r="O14" s="82"/>
      <c r="P14" s="82"/>
      <c r="Q14" s="82"/>
      <c r="R14" s="82"/>
      <c r="S14" s="82"/>
      <c r="T14" s="82"/>
      <c r="U14" s="82"/>
      <c r="V14" s="82"/>
      <c r="W14" s="82"/>
      <c r="X14" s="82"/>
      <c r="Y14" s="82"/>
      <c r="Z14" s="82"/>
      <c r="AA14" s="82"/>
      <c r="AB14" s="82"/>
      <c r="AC14" s="82"/>
    </row>
    <row r="15" spans="1:31">
      <c r="B15" s="386" t="s">
        <v>63</v>
      </c>
      <c r="C15" s="385">
        <f>Reinvestment!J28</f>
        <v>0.19628272880134517</v>
      </c>
      <c r="D15" s="87"/>
      <c r="E15" s="84" t="s">
        <v>311</v>
      </c>
      <c r="F15" s="377">
        <f>'Balance Sheet'!C9</f>
        <v>10025</v>
      </c>
      <c r="G15" s="377">
        <f>'Balance Sheet'!D9</f>
        <v>9043</v>
      </c>
      <c r="H15" s="377">
        <f>'Balance Sheet'!E9</f>
        <v>7995</v>
      </c>
      <c r="I15" s="377">
        <f>'Balance Sheet'!F9</f>
        <v>8620</v>
      </c>
      <c r="J15" s="377">
        <f>'Balance Sheet'!G9</f>
        <v>8634</v>
      </c>
      <c r="L15" s="82"/>
      <c r="M15" s="82"/>
      <c r="N15" s="82"/>
      <c r="O15" s="82"/>
      <c r="P15" s="82"/>
      <c r="Q15" s="82"/>
      <c r="R15" s="82"/>
      <c r="S15" s="82"/>
      <c r="T15" s="82"/>
      <c r="U15" s="82"/>
      <c r="V15" s="82"/>
      <c r="W15" s="82"/>
      <c r="X15" s="82"/>
      <c r="Y15" s="82"/>
      <c r="Z15" s="82"/>
      <c r="AA15" s="82"/>
      <c r="AB15" s="82"/>
      <c r="AC15" s="82"/>
    </row>
    <row r="16" spans="1:31">
      <c r="D16" s="52"/>
      <c r="E16" s="388" t="s">
        <v>61</v>
      </c>
      <c r="F16" s="376">
        <f>SUM(F12:F15)</f>
        <v>86496</v>
      </c>
      <c r="G16" s="376">
        <f>SUM(G12:G15)</f>
        <v>97974</v>
      </c>
      <c r="H16" s="376">
        <f>SUM(H12:H15)</f>
        <v>99660</v>
      </c>
      <c r="I16" s="376">
        <f>SUM(I12:I15)</f>
        <v>98704</v>
      </c>
      <c r="J16" s="376">
        <f>SUM(J12:J15)</f>
        <v>97936</v>
      </c>
      <c r="L16" s="82"/>
      <c r="M16" s="82"/>
      <c r="N16" s="82"/>
      <c r="O16" s="82"/>
      <c r="P16" s="82"/>
      <c r="Q16" s="82"/>
      <c r="R16" s="82"/>
      <c r="S16" s="82"/>
      <c r="T16" s="82"/>
      <c r="U16" s="82"/>
      <c r="V16" s="82"/>
      <c r="W16" s="82"/>
      <c r="X16" s="82"/>
      <c r="Y16" s="82"/>
      <c r="Z16" s="82"/>
      <c r="AA16" s="82"/>
      <c r="AB16" s="82"/>
      <c r="AC16" s="82"/>
    </row>
    <row r="17" spans="2:31">
      <c r="B17" s="77" t="s">
        <v>297</v>
      </c>
      <c r="C17" s="360">
        <f>J26</f>
        <v>66608</v>
      </c>
      <c r="D17" s="88"/>
      <c r="E17" s="389" t="s">
        <v>46</v>
      </c>
      <c r="F17" s="377">
        <f>'Balance Sheet'!C23</f>
        <v>12916</v>
      </c>
      <c r="G17" s="377">
        <f>'Balance Sheet'!D23</f>
        <v>15553</v>
      </c>
      <c r="H17" s="377">
        <f>'Balance Sheet'!E23</f>
        <v>12928</v>
      </c>
      <c r="I17" s="377">
        <f>'Balance Sheet'!F23</f>
        <v>9261</v>
      </c>
      <c r="J17" s="377">
        <f>'Balance Sheet'!G23</f>
        <v>10200</v>
      </c>
      <c r="K17" s="82"/>
      <c r="L17" s="82"/>
      <c r="M17" s="82"/>
      <c r="N17" s="82"/>
      <c r="O17" s="82"/>
      <c r="P17" s="82"/>
      <c r="Q17" s="82"/>
      <c r="R17" s="82"/>
      <c r="S17" s="82"/>
      <c r="T17" s="82"/>
      <c r="U17" s="82"/>
      <c r="V17" s="82"/>
      <c r="W17" s="82"/>
      <c r="X17" s="82"/>
      <c r="Y17" s="82"/>
      <c r="Z17" s="82"/>
      <c r="AA17" s="82"/>
      <c r="AB17" s="82"/>
      <c r="AC17" s="82"/>
    </row>
    <row r="18" spans="2:31">
      <c r="B18" s="382" t="s">
        <v>298</v>
      </c>
      <c r="C18" s="383">
        <f>C17*C15</f>
        <v>13074</v>
      </c>
      <c r="E18" s="84" t="s">
        <v>700</v>
      </c>
      <c r="F18" s="377">
        <f>'Balance Sheet'!C25</f>
        <v>50676</v>
      </c>
      <c r="G18" s="377">
        <f>'Balance Sheet'!D25</f>
        <v>51551</v>
      </c>
      <c r="H18" s="377">
        <f>'Balance Sheet'!E25</f>
        <v>50488</v>
      </c>
      <c r="I18" s="377">
        <f>'Balance Sheet'!F25</f>
        <v>52980</v>
      </c>
      <c r="J18" s="377">
        <f>'Balance Sheet'!G25</f>
        <v>53081</v>
      </c>
      <c r="K18" s="82"/>
      <c r="L18" s="82"/>
      <c r="M18" s="82"/>
      <c r="N18" s="82"/>
      <c r="O18" s="82"/>
      <c r="P18" s="82"/>
      <c r="Q18" s="82"/>
      <c r="R18" s="82"/>
      <c r="S18" s="82"/>
      <c r="T18" s="82"/>
      <c r="U18" s="82"/>
      <c r="V18" s="82"/>
      <c r="W18" s="82"/>
      <c r="X18" s="82"/>
      <c r="Y18" s="82"/>
      <c r="Z18" s="82"/>
      <c r="AA18" s="82"/>
      <c r="AB18" s="82"/>
      <c r="AC18" s="82"/>
    </row>
    <row r="19" spans="2:31">
      <c r="C19" s="373"/>
      <c r="E19" s="84" t="s">
        <v>337</v>
      </c>
      <c r="F19" s="377">
        <f>'Balance Sheet'!C24</f>
        <v>14808</v>
      </c>
      <c r="G19" s="377">
        <f>'Balance Sheet'!D24</f>
        <v>22868</v>
      </c>
      <c r="H19" s="377">
        <f>'Balance Sheet'!E24</f>
        <v>22171</v>
      </c>
      <c r="I19" s="377">
        <f>'Balance Sheet'!F24</f>
        <v>18455</v>
      </c>
      <c r="J19" s="377">
        <f>'Balance Sheet'!G24</f>
        <v>21581</v>
      </c>
      <c r="K19" s="82"/>
      <c r="L19" s="82"/>
      <c r="M19" s="82"/>
      <c r="N19" s="82"/>
      <c r="O19" s="82"/>
      <c r="P19" s="82"/>
      <c r="Q19" s="82"/>
      <c r="R19" s="82"/>
      <c r="S19" s="82"/>
      <c r="T19" s="82"/>
      <c r="U19" s="82"/>
      <c r="V19" s="82"/>
      <c r="W19" s="82"/>
      <c r="X19" s="82"/>
      <c r="Y19" s="82"/>
      <c r="Z19" s="82"/>
      <c r="AA19" s="82"/>
      <c r="AB19" s="82"/>
      <c r="AC19" s="82"/>
    </row>
    <row r="20" spans="2:31">
      <c r="B20" s="77" t="s">
        <v>65</v>
      </c>
      <c r="C20" s="360">
        <f>I26</f>
        <v>62286</v>
      </c>
      <c r="E20" s="388" t="s">
        <v>62</v>
      </c>
      <c r="F20" s="376">
        <f>SUM(F17:F19)</f>
        <v>78400</v>
      </c>
      <c r="G20" s="376">
        <f>SUM(G17:G19)</f>
        <v>89972</v>
      </c>
      <c r="H20" s="376">
        <f>SUM(H17:H19)</f>
        <v>85587</v>
      </c>
      <c r="I20" s="376">
        <f>SUM(I17:I19)</f>
        <v>80696</v>
      </c>
      <c r="J20" s="376">
        <f>SUM(J17:J19)</f>
        <v>84862</v>
      </c>
      <c r="K20" s="82"/>
      <c r="L20" s="82"/>
      <c r="M20" s="82"/>
      <c r="N20" s="82"/>
      <c r="O20" s="82"/>
      <c r="P20" s="82"/>
      <c r="Q20" s="82"/>
      <c r="R20" s="82"/>
      <c r="S20" s="82"/>
      <c r="T20" s="82"/>
      <c r="U20" s="82"/>
      <c r="V20" s="82"/>
      <c r="W20" s="82"/>
      <c r="X20" s="82"/>
      <c r="Y20" s="82"/>
      <c r="Z20" s="82"/>
      <c r="AA20" s="82"/>
      <c r="AB20" s="82"/>
      <c r="AC20" s="82"/>
    </row>
    <row r="21" spans="2:31">
      <c r="B21" s="382" t="s">
        <v>64</v>
      </c>
      <c r="C21" s="384">
        <f>C20*C15</f>
        <v>12225.666046120585</v>
      </c>
      <c r="F21" s="390"/>
      <c r="G21" s="390"/>
      <c r="H21" s="390"/>
      <c r="I21" s="390"/>
      <c r="J21" s="390"/>
      <c r="K21" s="82"/>
      <c r="L21" s="82"/>
      <c r="M21" s="82"/>
      <c r="N21" s="82"/>
      <c r="O21" s="82"/>
      <c r="P21" s="82"/>
      <c r="Q21" s="82"/>
      <c r="R21" s="82"/>
      <c r="S21" s="82"/>
      <c r="T21" s="82"/>
      <c r="U21" s="82"/>
      <c r="V21" s="82"/>
      <c r="W21" s="82"/>
      <c r="X21" s="82"/>
      <c r="Y21" s="82"/>
      <c r="Z21" s="82"/>
      <c r="AA21" s="82"/>
      <c r="AB21" s="82"/>
      <c r="AC21" s="82"/>
    </row>
    <row r="22" spans="2:31">
      <c r="C22" s="373"/>
      <c r="E22" s="388" t="s">
        <v>47</v>
      </c>
      <c r="F22" s="376">
        <f>F16-F20</f>
        <v>8096</v>
      </c>
      <c r="G22" s="376">
        <f>G16-G20</f>
        <v>8002</v>
      </c>
      <c r="H22" s="376">
        <f>H16-H20</f>
        <v>14073</v>
      </c>
      <c r="I22" s="376">
        <f>I16-I20</f>
        <v>18008</v>
      </c>
      <c r="J22" s="376">
        <f>J16-J20</f>
        <v>13074</v>
      </c>
      <c r="K22" s="82"/>
      <c r="L22" s="82"/>
      <c r="M22" s="82"/>
      <c r="N22" s="82"/>
      <c r="O22" s="82"/>
      <c r="P22" s="82"/>
      <c r="Q22" s="82"/>
      <c r="R22" s="82"/>
      <c r="S22" s="82"/>
      <c r="T22" s="82"/>
      <c r="U22" s="82"/>
      <c r="V22" s="82"/>
      <c r="W22" s="82"/>
      <c r="X22" s="82"/>
      <c r="Y22" s="82"/>
      <c r="Z22" s="82"/>
      <c r="AA22" s="82"/>
      <c r="AB22" s="82"/>
      <c r="AC22" s="82"/>
    </row>
    <row r="23" spans="2:31">
      <c r="B23" s="351" t="s">
        <v>312</v>
      </c>
      <c r="C23" s="362">
        <f>C18-C21</f>
        <v>848.33395387941528</v>
      </c>
      <c r="F23" s="360"/>
      <c r="G23" s="360"/>
      <c r="H23" s="360"/>
      <c r="I23" s="360"/>
      <c r="J23" s="360"/>
      <c r="K23" s="82"/>
      <c r="L23" s="82"/>
      <c r="M23" s="82"/>
      <c r="N23" s="82"/>
      <c r="O23" s="82"/>
      <c r="P23" s="82"/>
      <c r="Q23" s="82"/>
      <c r="R23" s="82"/>
      <c r="S23" s="82"/>
      <c r="T23" s="82"/>
      <c r="U23" s="82"/>
      <c r="V23" s="82"/>
      <c r="W23" s="82"/>
      <c r="X23" s="82"/>
      <c r="Y23" s="82"/>
      <c r="Z23" s="82"/>
      <c r="AA23" s="82"/>
      <c r="AB23" s="82"/>
      <c r="AC23" s="82"/>
    </row>
    <row r="24" spans="2:31">
      <c r="E24" s="86" t="s">
        <v>175</v>
      </c>
      <c r="F24" s="375"/>
      <c r="G24" s="375">
        <f>G22-F22</f>
        <v>-94</v>
      </c>
      <c r="H24" s="375">
        <f>H22-G22</f>
        <v>6071</v>
      </c>
      <c r="I24" s="375">
        <f>I22-H22</f>
        <v>3935</v>
      </c>
      <c r="J24" s="375">
        <f>J22-I22</f>
        <v>-4934</v>
      </c>
      <c r="K24" s="82"/>
      <c r="L24" s="82"/>
      <c r="M24" s="82"/>
      <c r="N24" s="82"/>
      <c r="O24" s="82"/>
      <c r="P24" s="82"/>
      <c r="Q24" s="82"/>
      <c r="R24" s="82"/>
      <c r="S24" s="82"/>
      <c r="T24" s="82"/>
      <c r="U24" s="82"/>
      <c r="V24" s="82"/>
      <c r="W24" s="82"/>
      <c r="X24" s="82"/>
      <c r="Y24" s="82"/>
      <c r="Z24" s="82"/>
      <c r="AA24" s="82"/>
      <c r="AB24" s="82"/>
      <c r="AC24" s="82"/>
    </row>
    <row r="25" spans="2:31">
      <c r="B25" s="348" t="s">
        <v>50</v>
      </c>
      <c r="C25" s="347"/>
      <c r="K25" s="82"/>
      <c r="L25" s="82"/>
      <c r="M25" s="82"/>
      <c r="N25" s="82"/>
      <c r="O25" s="82"/>
      <c r="P25" s="82"/>
      <c r="Q25" s="82"/>
      <c r="R25" s="82"/>
      <c r="S25" s="82"/>
      <c r="T25" s="82"/>
      <c r="U25" s="82"/>
      <c r="V25" s="82"/>
      <c r="W25" s="82"/>
      <c r="X25" s="82"/>
      <c r="Y25" s="82"/>
      <c r="Z25" s="82"/>
      <c r="AA25" s="82"/>
      <c r="AB25" s="82"/>
      <c r="AC25" s="82"/>
    </row>
    <row r="26" spans="2:31" ht="12.75" thickBot="1">
      <c r="B26" s="349" t="str">
        <f>Drivers!$C$5&amp;" in mil"</f>
        <v>$ in mil</v>
      </c>
      <c r="C26" s="367"/>
      <c r="E26" s="84" t="s">
        <v>4</v>
      </c>
      <c r="F26" s="360">
        <f>'Income Statement'!C7</f>
        <v>101127</v>
      </c>
      <c r="G26" s="360">
        <f>'Income Statement'!D7</f>
        <v>76559</v>
      </c>
      <c r="H26" s="360">
        <f>'Income Statement'!E7</f>
        <v>58158</v>
      </c>
      <c r="I26" s="360">
        <f>'Income Statement'!F7</f>
        <v>62286</v>
      </c>
      <c r="J26" s="360">
        <f>'Income Statement'!G7</f>
        <v>66608</v>
      </c>
      <c r="K26" s="82"/>
      <c r="L26" s="82"/>
      <c r="M26" s="82"/>
      <c r="N26" s="82"/>
      <c r="O26" s="82"/>
      <c r="P26" s="82"/>
      <c r="Q26" s="82"/>
      <c r="R26" s="82"/>
      <c r="S26" s="82"/>
      <c r="T26" s="82"/>
      <c r="U26" s="82"/>
      <c r="V26" s="82"/>
      <c r="W26" s="82"/>
      <c r="X26" s="82"/>
      <c r="Y26" s="82"/>
      <c r="Z26" s="82"/>
      <c r="AA26" s="82"/>
      <c r="AB26" s="82"/>
      <c r="AC26" s="82"/>
    </row>
    <row r="27" spans="2:31">
      <c r="B27" s="351" t="s">
        <v>50</v>
      </c>
      <c r="C27" s="362">
        <f>C11+C23</f>
        <v>678.28395387941509</v>
      </c>
      <c r="E27" s="89" t="s">
        <v>60</v>
      </c>
      <c r="F27" s="366">
        <f>F22/F26</f>
        <v>8.0057749166889153E-2</v>
      </c>
      <c r="G27" s="366">
        <f>G22/G26</f>
        <v>0.10452069645632781</v>
      </c>
      <c r="H27" s="366">
        <f>H22/H26</f>
        <v>0.24197874754977819</v>
      </c>
      <c r="I27" s="366">
        <f>I22/I26</f>
        <v>0.28911793982596412</v>
      </c>
      <c r="J27" s="366">
        <f>J22/J26</f>
        <v>0.19628272880134517</v>
      </c>
      <c r="K27" s="82"/>
      <c r="L27" s="82"/>
      <c r="M27" s="82"/>
      <c r="N27" s="82"/>
      <c r="O27" s="82"/>
      <c r="P27" s="82"/>
      <c r="Q27" s="82"/>
      <c r="R27" s="82"/>
      <c r="S27" s="82"/>
      <c r="T27" s="82"/>
      <c r="U27" s="82"/>
      <c r="V27" s="82"/>
      <c r="W27" s="82"/>
      <c r="X27" s="82"/>
      <c r="Y27" s="82"/>
      <c r="Z27" s="82"/>
      <c r="AA27" s="82"/>
      <c r="AB27" s="82"/>
      <c r="AC27" s="82"/>
    </row>
    <row r="28" spans="2:31">
      <c r="I28" s="89" t="s">
        <v>113</v>
      </c>
      <c r="J28" s="393">
        <f>MEDIAN(F27:J27)</f>
        <v>0.19628272880134517</v>
      </c>
      <c r="K28" s="82"/>
      <c r="L28" s="82"/>
      <c r="M28" s="82"/>
      <c r="N28" s="82"/>
      <c r="O28" s="82"/>
      <c r="P28" s="82"/>
      <c r="Q28" s="82"/>
      <c r="R28" s="82"/>
      <c r="S28" s="82"/>
      <c r="T28" s="82"/>
      <c r="U28" s="82"/>
      <c r="V28" s="82"/>
      <c r="W28" s="82"/>
      <c r="X28" s="82"/>
      <c r="Y28" s="82"/>
      <c r="Z28" s="82"/>
      <c r="AA28" s="82"/>
      <c r="AB28" s="82"/>
      <c r="AC28" s="82"/>
    </row>
    <row r="29" spans="2:31">
      <c r="K29" s="82"/>
      <c r="L29" s="82"/>
      <c r="M29" s="82"/>
      <c r="N29" s="82"/>
      <c r="O29" s="82"/>
      <c r="P29" s="82"/>
      <c r="Q29" s="82"/>
      <c r="R29" s="82"/>
      <c r="S29" s="82"/>
      <c r="T29" s="82"/>
      <c r="U29" s="82"/>
      <c r="V29" s="82"/>
      <c r="W29" s="82"/>
      <c r="X29" s="82"/>
      <c r="Y29" s="82"/>
      <c r="Z29" s="82"/>
      <c r="AA29" s="82"/>
      <c r="AB29" s="82"/>
      <c r="AC29" s="82"/>
      <c r="AD29" s="82"/>
      <c r="AE29" s="82"/>
    </row>
    <row r="30" spans="2:31" ht="14.25" customHeight="1">
      <c r="K30" s="82"/>
      <c r="L30" s="82"/>
      <c r="M30" s="82"/>
      <c r="N30" s="82"/>
      <c r="O30" s="82"/>
      <c r="P30" s="82"/>
      <c r="Q30" s="82"/>
      <c r="R30" s="82"/>
      <c r="S30" s="82"/>
      <c r="T30" s="82"/>
      <c r="U30" s="82"/>
      <c r="V30" s="82"/>
      <c r="W30" s="82"/>
      <c r="X30" s="82"/>
      <c r="Y30" s="82"/>
      <c r="Z30" s="82"/>
      <c r="AA30" s="82"/>
      <c r="AB30" s="82"/>
      <c r="AC30" s="82"/>
      <c r="AD30" s="82"/>
      <c r="AE30" s="82"/>
    </row>
    <row r="31" spans="2:31">
      <c r="K31" s="82"/>
      <c r="L31" s="82"/>
      <c r="M31" s="82"/>
      <c r="N31" s="82"/>
      <c r="O31" s="82"/>
      <c r="P31" s="82"/>
      <c r="Q31" s="82"/>
      <c r="R31" s="82"/>
      <c r="S31" s="82"/>
      <c r="T31" s="82"/>
      <c r="U31" s="82"/>
      <c r="V31" s="82"/>
      <c r="W31" s="82"/>
      <c r="X31" s="82"/>
      <c r="Y31" s="82"/>
      <c r="Z31" s="82"/>
      <c r="AA31" s="82"/>
      <c r="AB31" s="82"/>
      <c r="AC31" s="82"/>
      <c r="AD31" s="82"/>
      <c r="AE31" s="82"/>
    </row>
    <row r="32" spans="2:31">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row>
    <row r="33" spans="6:31">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row>
    <row r="34" spans="6:31">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row>
    <row r="35" spans="6:31">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row>
    <row r="36" spans="6:31">
      <c r="I36" s="82"/>
      <c r="J36" s="82"/>
      <c r="K36" s="82"/>
      <c r="L36" s="82"/>
      <c r="M36" s="82"/>
      <c r="N36" s="82"/>
      <c r="O36" s="82"/>
      <c r="P36" s="82"/>
      <c r="Q36" s="82"/>
      <c r="R36" s="82"/>
      <c r="S36" s="82"/>
      <c r="T36" s="82"/>
      <c r="U36" s="82"/>
      <c r="V36" s="82"/>
      <c r="W36" s="82"/>
      <c r="X36" s="82"/>
      <c r="Y36" s="82"/>
      <c r="Z36" s="82"/>
      <c r="AA36" s="82"/>
      <c r="AB36" s="82"/>
      <c r="AC36" s="82"/>
      <c r="AD36" s="82"/>
      <c r="AE36" s="82"/>
    </row>
    <row r="37" spans="6:31">
      <c r="I37" s="82"/>
      <c r="J37" s="82"/>
      <c r="K37" s="82"/>
      <c r="L37" s="82"/>
      <c r="M37" s="82"/>
      <c r="N37" s="82"/>
      <c r="O37" s="82"/>
      <c r="P37" s="82"/>
      <c r="Q37" s="82"/>
      <c r="R37" s="82"/>
      <c r="S37" s="82"/>
      <c r="T37" s="82"/>
      <c r="U37" s="82"/>
      <c r="V37" s="82"/>
      <c r="W37" s="82"/>
      <c r="X37" s="82"/>
      <c r="Y37" s="82"/>
      <c r="Z37" s="82"/>
      <c r="AA37" s="82"/>
      <c r="AB37" s="82"/>
      <c r="AC37" s="82"/>
      <c r="AD37" s="82"/>
      <c r="AE37" s="82"/>
    </row>
    <row r="38" spans="6:31">
      <c r="K38" s="82"/>
      <c r="L38" s="82"/>
      <c r="M38" s="82"/>
      <c r="N38" s="82"/>
      <c r="O38" s="82"/>
      <c r="P38" s="82"/>
      <c r="Q38" s="82"/>
      <c r="R38" s="82"/>
      <c r="S38" s="82"/>
      <c r="T38" s="82"/>
      <c r="U38" s="82"/>
      <c r="V38" s="82"/>
      <c r="W38" s="82"/>
      <c r="X38" s="82"/>
      <c r="Y38" s="82"/>
      <c r="Z38" s="82"/>
      <c r="AA38" s="82"/>
      <c r="AB38" s="82"/>
      <c r="AC38" s="82"/>
      <c r="AD38" s="82"/>
      <c r="AE38" s="8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38"/>
  <sheetViews>
    <sheetView workbookViewId="0"/>
  </sheetViews>
  <sheetFormatPr defaultRowHeight="12"/>
  <cols>
    <col min="1" max="1" width="2" style="77" customWidth="1"/>
    <col min="2" max="2" width="29.28515625" style="77" customWidth="1"/>
    <col min="3" max="3" width="11.7109375" style="77" customWidth="1"/>
    <col min="4" max="4" width="10.7109375" style="77" customWidth="1"/>
    <col min="5" max="5" width="24.140625" style="77" customWidth="1"/>
    <col min="6" max="6" width="11.7109375" style="77" customWidth="1" collapsed="1"/>
    <col min="7" max="11" width="11.7109375" style="77" customWidth="1"/>
    <col min="12" max="24" width="9.140625" style="77" customWidth="1"/>
    <col min="25" max="25" width="9.28515625" style="77" customWidth="1"/>
    <col min="26" max="26" width="9.42578125" style="77" customWidth="1"/>
    <col min="27" max="27" width="10" style="77" customWidth="1"/>
    <col min="28" max="28" width="11.42578125" style="77" customWidth="1"/>
    <col min="29" max="29" width="9.42578125" style="77" bestFit="1" customWidth="1" collapsed="1"/>
    <col min="30" max="16384" width="9.140625" style="77"/>
  </cols>
  <sheetData>
    <row r="1" spans="1:30" s="76" customFormat="1" ht="15" customHeight="1">
      <c r="B1" s="15" t="s">
        <v>58</v>
      </c>
      <c r="C1" s="75"/>
      <c r="D1" s="75"/>
      <c r="E1" s="75"/>
      <c r="F1" s="75"/>
      <c r="G1" s="75"/>
      <c r="H1" s="75"/>
      <c r="I1" s="75"/>
      <c r="J1" s="75"/>
    </row>
    <row r="2" spans="1:30" ht="12.75" customHeight="1">
      <c r="C2" s="89"/>
    </row>
    <row r="3" spans="1:30">
      <c r="A3" s="79"/>
      <c r="B3" s="348" t="s">
        <v>49</v>
      </c>
      <c r="C3" s="347"/>
      <c r="E3" s="348" t="s">
        <v>382</v>
      </c>
      <c r="F3" s="347"/>
      <c r="G3" s="347"/>
      <c r="H3" s="347"/>
      <c r="I3" s="347"/>
      <c r="J3" s="347"/>
      <c r="K3" s="347"/>
    </row>
    <row r="4" spans="1:30" ht="12.75" customHeight="1" thickBot="1">
      <c r="A4" s="84"/>
      <c r="B4" s="349" t="str">
        <f>Drivers!$C$5&amp;" in mil"</f>
        <v>$ in mil</v>
      </c>
      <c r="C4" s="367"/>
      <c r="E4" s="349" t="str">
        <f>Drivers!$C$5&amp;" in mil"</f>
        <v>$ in mil</v>
      </c>
      <c r="F4" s="367">
        <v>43101</v>
      </c>
      <c r="G4" s="367">
        <f>EDATE(F4,12)</f>
        <v>43466</v>
      </c>
      <c r="H4" s="367">
        <f>EDATE(G4,12)</f>
        <v>43831</v>
      </c>
      <c r="I4" s="367">
        <f>EDATE(H4,12)</f>
        <v>44197</v>
      </c>
      <c r="J4" s="367">
        <f>EDATE(I4,12)</f>
        <v>44562</v>
      </c>
      <c r="K4" s="367"/>
      <c r="M4" s="81"/>
      <c r="O4" s="81"/>
      <c r="P4" s="81"/>
      <c r="Q4" s="81"/>
      <c r="R4" s="81"/>
      <c r="S4" s="81"/>
      <c r="T4" s="81"/>
      <c r="Y4" s="81"/>
    </row>
    <row r="5" spans="1:30">
      <c r="A5" s="84"/>
      <c r="B5" s="77" t="s">
        <v>201</v>
      </c>
      <c r="C5" s="379">
        <f>'Accounting Adjustments'!C48</f>
        <v>-3951.3451136692033</v>
      </c>
      <c r="E5" s="89" t="s">
        <v>55</v>
      </c>
      <c r="F5" s="377">
        <f>'Cash Flow Statement'!C43</f>
        <v>8548</v>
      </c>
      <c r="G5" s="377">
        <f>'Cash Flow Statement'!D43</f>
        <v>25389</v>
      </c>
      <c r="H5" s="377">
        <f>'Cash Flow Statement'!E43</f>
        <v>47248</v>
      </c>
      <c r="I5" s="377">
        <f>'Cash Flow Statement'!F43</f>
        <v>9795</v>
      </c>
      <c r="J5" s="377">
        <f>'Cash Flow Statement'!G43</f>
        <v>34</v>
      </c>
      <c r="K5" s="391">
        <f>AVERAGE(F5:J5)</f>
        <v>18202.8</v>
      </c>
      <c r="M5" s="82"/>
      <c r="N5" s="82"/>
      <c r="O5" s="82"/>
      <c r="P5" s="82"/>
      <c r="Q5" s="82"/>
      <c r="R5" s="82"/>
      <c r="S5" s="82"/>
      <c r="T5" s="82"/>
      <c r="U5" s="82"/>
      <c r="V5" s="82"/>
      <c r="W5" s="82"/>
      <c r="X5" s="82"/>
      <c r="Y5" s="82"/>
      <c r="Z5" s="82"/>
      <c r="AA5" s="82"/>
      <c r="AB5" s="82"/>
      <c r="AC5" s="82"/>
      <c r="AD5" s="82"/>
    </row>
    <row r="6" spans="1:30" ht="12" customHeight="1">
      <c r="A6" s="84"/>
      <c r="B6" s="356" t="s">
        <v>735</v>
      </c>
      <c r="C6" s="63">
        <v>9.8599999999999993E-2</v>
      </c>
      <c r="E6" s="89" t="s">
        <v>347</v>
      </c>
      <c r="F6" s="377">
        <f>'Cash Flow Statement'!C44</f>
        <v>-7183</v>
      </c>
      <c r="G6" s="377">
        <f>'Cash Flow Statement'!D44</f>
        <v>-12171</v>
      </c>
      <c r="H6" s="377">
        <f>'Cash Flow Statement'!E44</f>
        <v>-10998</v>
      </c>
      <c r="I6" s="377">
        <f>'Cash Flow Statement'!F44</f>
        <v>-15371</v>
      </c>
      <c r="J6" s="377">
        <f>'Cash Flow Statement'!G44</f>
        <v>-1310</v>
      </c>
      <c r="K6" s="391">
        <f>AVERAGE(F6:J6)</f>
        <v>-9406.6</v>
      </c>
      <c r="M6" s="82"/>
      <c r="N6" s="82"/>
      <c r="O6" s="82"/>
      <c r="P6" s="82"/>
      <c r="Q6" s="82"/>
      <c r="R6" s="82"/>
      <c r="S6" s="82"/>
      <c r="T6" s="82"/>
      <c r="U6" s="82"/>
      <c r="V6" s="82"/>
      <c r="W6" s="82"/>
      <c r="X6" s="82"/>
      <c r="Y6" s="82"/>
      <c r="Z6" s="82"/>
      <c r="AA6" s="82"/>
      <c r="AB6" s="82"/>
      <c r="AC6" s="82"/>
      <c r="AD6" s="82"/>
    </row>
    <row r="7" spans="1:30" ht="12" customHeight="1">
      <c r="B7" s="77" t="s">
        <v>48</v>
      </c>
      <c r="C7" s="360">
        <f>C5*(1-C6)</f>
        <v>-3561.7424854614196</v>
      </c>
      <c r="M7" s="82"/>
      <c r="N7" s="82"/>
      <c r="O7" s="82"/>
      <c r="P7" s="82"/>
      <c r="Q7" s="82"/>
      <c r="R7" s="82"/>
      <c r="S7" s="82"/>
      <c r="T7" s="82"/>
      <c r="U7" s="82"/>
      <c r="V7" s="82"/>
      <c r="W7" s="82"/>
      <c r="X7" s="82"/>
      <c r="Y7" s="82"/>
      <c r="Z7" s="82"/>
      <c r="AA7" s="82"/>
      <c r="AB7" s="82"/>
      <c r="AC7" s="82"/>
      <c r="AD7" s="82"/>
    </row>
    <row r="8" spans="1:30">
      <c r="A8" s="84"/>
      <c r="B8" s="394"/>
      <c r="C8" s="395"/>
      <c r="F8" s="241"/>
      <c r="G8" s="241"/>
      <c r="H8" s="241"/>
      <c r="I8" s="241"/>
      <c r="J8" s="241"/>
      <c r="M8" s="82"/>
      <c r="N8" s="82"/>
      <c r="O8" s="82"/>
      <c r="P8" s="82"/>
      <c r="Q8" s="82"/>
      <c r="R8" s="82"/>
      <c r="S8" s="82"/>
      <c r="T8" s="82"/>
      <c r="U8" s="82"/>
      <c r="V8" s="82"/>
      <c r="W8" s="82"/>
      <c r="X8" s="82"/>
      <c r="Y8" s="82"/>
      <c r="Z8" s="82"/>
      <c r="AA8" s="82"/>
      <c r="AB8" s="82"/>
      <c r="AC8" s="82"/>
      <c r="AD8" s="82"/>
    </row>
    <row r="9" spans="1:30">
      <c r="A9" s="84"/>
      <c r="B9" s="77" t="s">
        <v>50</v>
      </c>
      <c r="C9" s="377">
        <f>Reinvestment!C27</f>
        <v>678.28395387941509</v>
      </c>
      <c r="K9" s="82"/>
      <c r="L9" s="82"/>
      <c r="M9" s="82"/>
      <c r="N9" s="82"/>
      <c r="O9" s="82"/>
      <c r="P9" s="82"/>
      <c r="Q9" s="82"/>
      <c r="R9" s="82"/>
      <c r="S9" s="82"/>
      <c r="T9" s="82"/>
      <c r="U9" s="82"/>
      <c r="V9" s="82"/>
      <c r="W9" s="82"/>
      <c r="X9" s="82"/>
      <c r="Y9" s="82"/>
      <c r="Z9" s="82"/>
      <c r="AA9" s="82"/>
      <c r="AB9" s="82"/>
    </row>
    <row r="10" spans="1:30">
      <c r="A10" s="80"/>
      <c r="K10" s="82"/>
      <c r="L10" s="82"/>
      <c r="M10" s="82"/>
      <c r="N10" s="82"/>
      <c r="O10" s="82"/>
      <c r="P10" s="82"/>
      <c r="Q10" s="82"/>
      <c r="R10" s="82"/>
      <c r="S10" s="82"/>
      <c r="T10" s="82"/>
      <c r="U10" s="82"/>
      <c r="V10" s="82"/>
      <c r="W10" s="82"/>
      <c r="X10" s="82"/>
      <c r="Y10" s="82"/>
      <c r="Z10" s="82"/>
      <c r="AA10" s="82"/>
      <c r="AB10" s="82"/>
    </row>
    <row r="11" spans="1:30">
      <c r="A11" s="84"/>
      <c r="B11" s="354" t="s">
        <v>49</v>
      </c>
      <c r="C11" s="362">
        <f>C7-C9</f>
        <v>-4240.0264393408343</v>
      </c>
      <c r="K11" s="82"/>
      <c r="L11" s="82"/>
      <c r="M11" s="82"/>
      <c r="N11" s="82"/>
      <c r="O11" s="82"/>
      <c r="P11" s="82"/>
      <c r="Q11" s="82"/>
      <c r="R11" s="82"/>
      <c r="S11" s="82"/>
      <c r="T11" s="82"/>
      <c r="U11" s="82"/>
      <c r="V11" s="82"/>
      <c r="W11" s="82"/>
      <c r="X11" s="82"/>
      <c r="Y11" s="82"/>
      <c r="Z11" s="82"/>
      <c r="AA11" s="82"/>
      <c r="AB11" s="82"/>
    </row>
    <row r="12" spans="1:30">
      <c r="E12" s="97"/>
      <c r="F12" s="62"/>
      <c r="G12" s="62"/>
      <c r="H12" s="92"/>
      <c r="I12" s="82"/>
      <c r="K12" s="82"/>
      <c r="L12" s="82"/>
      <c r="M12" s="82"/>
      <c r="N12" s="82"/>
      <c r="O12" s="82"/>
      <c r="P12" s="82"/>
      <c r="Q12" s="82"/>
      <c r="R12" s="82"/>
      <c r="S12" s="82"/>
      <c r="T12" s="82"/>
      <c r="U12" s="82"/>
      <c r="V12" s="82"/>
      <c r="W12" s="82"/>
      <c r="X12" s="82"/>
      <c r="Y12" s="82"/>
      <c r="Z12" s="82"/>
      <c r="AA12" s="82"/>
      <c r="AB12" s="82"/>
    </row>
    <row r="13" spans="1:30">
      <c r="A13" s="84"/>
      <c r="F13" s="62"/>
      <c r="G13" s="62"/>
      <c r="H13" s="92"/>
      <c r="I13" s="82"/>
      <c r="K13" s="82"/>
      <c r="L13" s="82"/>
      <c r="M13" s="82"/>
      <c r="N13" s="82"/>
      <c r="O13" s="82"/>
      <c r="P13" s="82"/>
      <c r="Q13" s="82"/>
      <c r="R13" s="82"/>
      <c r="S13" s="82"/>
      <c r="T13" s="82"/>
      <c r="U13" s="82"/>
      <c r="V13" s="82"/>
      <c r="W13" s="82"/>
      <c r="X13" s="82"/>
      <c r="Y13" s="82"/>
      <c r="Z13" s="82"/>
      <c r="AA13" s="82"/>
      <c r="AB13" s="82"/>
    </row>
    <row r="14" spans="1:30">
      <c r="B14" s="348" t="s">
        <v>56</v>
      </c>
      <c r="C14" s="347"/>
      <c r="D14" s="82"/>
      <c r="F14" s="62"/>
      <c r="G14" s="62"/>
      <c r="H14" s="92"/>
      <c r="I14" s="82"/>
      <c r="L14" s="82"/>
      <c r="M14" s="82"/>
      <c r="N14" s="82"/>
      <c r="O14" s="82"/>
      <c r="P14" s="82"/>
      <c r="Q14" s="82"/>
      <c r="R14" s="82"/>
      <c r="S14" s="82"/>
      <c r="T14" s="82"/>
      <c r="U14" s="82"/>
      <c r="V14" s="82"/>
      <c r="W14" s="82"/>
      <c r="X14" s="82"/>
      <c r="Y14" s="82"/>
      <c r="Z14" s="82"/>
      <c r="AA14" s="82"/>
      <c r="AB14" s="82"/>
      <c r="AC14" s="82"/>
    </row>
    <row r="15" spans="1:30" ht="12.75" thickBot="1">
      <c r="B15" s="349" t="str">
        <f>Drivers!$C$5&amp;" in mil"</f>
        <v>$ in mil</v>
      </c>
      <c r="C15" s="367"/>
      <c r="F15" s="62"/>
      <c r="G15" s="62"/>
      <c r="H15" s="92"/>
      <c r="I15" s="82"/>
      <c r="L15" s="82"/>
      <c r="M15" s="82"/>
      <c r="N15" s="82"/>
      <c r="O15" s="82"/>
      <c r="P15" s="82"/>
      <c r="Q15" s="82"/>
      <c r="R15" s="82"/>
      <c r="S15" s="82"/>
      <c r="T15" s="82"/>
      <c r="U15" s="82"/>
      <c r="V15" s="82"/>
      <c r="W15" s="82"/>
      <c r="X15" s="82"/>
      <c r="Y15" s="82"/>
      <c r="Z15" s="82"/>
      <c r="AA15" s="82"/>
      <c r="AB15" s="82"/>
      <c r="AC15" s="82"/>
    </row>
    <row r="16" spans="1:30">
      <c r="B16" s="77" t="str">
        <f>B5</f>
        <v>Normalized EBIT</v>
      </c>
      <c r="C16" s="360">
        <f>C5</f>
        <v>-3951.3451136692033</v>
      </c>
      <c r="F16" s="62"/>
      <c r="G16" s="62"/>
      <c r="H16" s="92"/>
      <c r="I16" s="82"/>
      <c r="L16" s="82"/>
      <c r="M16" s="82"/>
      <c r="N16" s="82"/>
      <c r="O16" s="82"/>
      <c r="P16" s="82"/>
      <c r="Q16" s="82"/>
      <c r="R16" s="82"/>
      <c r="S16" s="82"/>
      <c r="T16" s="82"/>
      <c r="U16" s="82"/>
      <c r="V16" s="82"/>
      <c r="W16" s="82"/>
      <c r="X16" s="82"/>
      <c r="Y16" s="82"/>
      <c r="Z16" s="82"/>
      <c r="AA16" s="82"/>
      <c r="AB16" s="82"/>
      <c r="AC16" s="82"/>
    </row>
    <row r="17" spans="1:30">
      <c r="B17" s="358" t="s">
        <v>51</v>
      </c>
      <c r="C17" s="360">
        <f>Drivers!M16</f>
        <v>2533</v>
      </c>
      <c r="F17" s="94"/>
      <c r="G17" s="94"/>
      <c r="H17" s="93"/>
      <c r="I17" s="82"/>
      <c r="L17" s="82"/>
      <c r="M17" s="82"/>
      <c r="N17" s="82"/>
      <c r="O17" s="82"/>
      <c r="P17" s="82"/>
      <c r="Q17" s="82"/>
      <c r="R17" s="82"/>
      <c r="S17" s="82"/>
      <c r="T17" s="82"/>
      <c r="U17" s="82"/>
      <c r="V17" s="82"/>
      <c r="W17" s="82"/>
      <c r="X17" s="82"/>
      <c r="Y17" s="82"/>
      <c r="Z17" s="82"/>
      <c r="AA17" s="82"/>
      <c r="AB17" s="82"/>
      <c r="AC17" s="82"/>
    </row>
    <row r="18" spans="1:30">
      <c r="A18" s="84"/>
      <c r="B18" s="350" t="s">
        <v>52</v>
      </c>
      <c r="C18" s="361">
        <f>C16-C17</f>
        <v>-6484.3451136692038</v>
      </c>
      <c r="I18" s="82"/>
      <c r="J18" s="82"/>
      <c r="K18" s="82"/>
      <c r="L18" s="82"/>
      <c r="M18" s="82"/>
      <c r="N18" s="82"/>
      <c r="O18" s="82"/>
      <c r="P18" s="82"/>
      <c r="Q18" s="82"/>
      <c r="R18" s="82"/>
      <c r="S18" s="82"/>
      <c r="T18" s="82"/>
      <c r="U18" s="82"/>
      <c r="V18" s="82"/>
      <c r="W18" s="82"/>
      <c r="X18" s="82"/>
      <c r="Y18" s="82"/>
      <c r="Z18" s="82"/>
      <c r="AA18" s="82"/>
      <c r="AB18" s="82"/>
      <c r="AC18" s="82"/>
    </row>
    <row r="19" spans="1:30" ht="12" customHeight="1">
      <c r="B19" s="557" t="s">
        <v>735</v>
      </c>
      <c r="C19" s="164">
        <f>'FCFF &amp; FCFE'!C6</f>
        <v>9.8599999999999993E-2</v>
      </c>
      <c r="I19" s="82"/>
      <c r="J19" s="82"/>
      <c r="K19" s="82"/>
      <c r="L19" s="82"/>
      <c r="M19" s="82"/>
      <c r="N19" s="82"/>
      <c r="O19" s="82"/>
      <c r="P19" s="82"/>
      <c r="Q19" s="82"/>
      <c r="R19" s="82"/>
      <c r="S19" s="82"/>
      <c r="T19" s="82"/>
      <c r="U19" s="82"/>
      <c r="V19" s="82"/>
      <c r="W19" s="82"/>
      <c r="X19" s="82"/>
      <c r="Y19" s="82"/>
      <c r="Z19" s="82"/>
      <c r="AA19" s="82"/>
      <c r="AB19" s="82"/>
      <c r="AC19" s="82"/>
      <c r="AD19" s="82"/>
    </row>
    <row r="20" spans="1:30" ht="12" customHeight="1">
      <c r="A20" s="84"/>
      <c r="B20" s="110" t="s">
        <v>53</v>
      </c>
      <c r="C20" s="376">
        <f>C18*(1-C19)</f>
        <v>-5844.9886854614206</v>
      </c>
      <c r="F20" s="82"/>
      <c r="G20" s="82"/>
      <c r="H20" s="82"/>
      <c r="I20" s="82"/>
      <c r="R20" s="82"/>
      <c r="S20" s="82"/>
      <c r="T20" s="82"/>
      <c r="U20" s="82"/>
      <c r="V20" s="82"/>
      <c r="W20" s="82"/>
      <c r="X20" s="82"/>
      <c r="Y20" s="82"/>
      <c r="Z20" s="82"/>
      <c r="AA20" s="82"/>
      <c r="AB20" s="82"/>
      <c r="AC20" s="82"/>
      <c r="AD20" s="82"/>
    </row>
    <row r="21" spans="1:30">
      <c r="C21" s="360"/>
      <c r="F21" s="82"/>
      <c r="G21" s="82"/>
      <c r="H21" s="82"/>
      <c r="I21" s="82"/>
      <c r="R21" s="82"/>
      <c r="S21" s="82"/>
      <c r="T21" s="82"/>
      <c r="U21" s="82"/>
      <c r="V21" s="82"/>
      <c r="W21" s="82"/>
      <c r="X21" s="82"/>
      <c r="Y21" s="82"/>
      <c r="Z21" s="82"/>
      <c r="AA21" s="82"/>
      <c r="AB21" s="82"/>
      <c r="AC21" s="82"/>
      <c r="AD21" s="82"/>
    </row>
    <row r="22" spans="1:30">
      <c r="B22" s="77" t="s">
        <v>50</v>
      </c>
      <c r="C22" s="360">
        <f>C9</f>
        <v>678.28395387941509</v>
      </c>
      <c r="F22" s="82"/>
      <c r="G22" s="82"/>
      <c r="H22" s="82"/>
      <c r="I22" s="82"/>
      <c r="R22" s="82"/>
      <c r="S22" s="82"/>
      <c r="T22" s="82"/>
      <c r="U22" s="82"/>
      <c r="V22" s="82"/>
      <c r="W22" s="82"/>
      <c r="X22" s="82"/>
      <c r="Y22" s="82"/>
      <c r="Z22" s="82"/>
      <c r="AA22" s="82"/>
      <c r="AB22" s="82"/>
      <c r="AC22" s="82"/>
      <c r="AD22" s="82"/>
    </row>
    <row r="23" spans="1:30">
      <c r="B23" s="80"/>
      <c r="C23" s="375"/>
      <c r="F23" s="82"/>
      <c r="G23" s="82"/>
      <c r="H23" s="82"/>
      <c r="I23" s="82"/>
      <c r="J23" s="82"/>
      <c r="K23" s="82"/>
      <c r="L23" s="82"/>
      <c r="M23" s="82"/>
      <c r="N23" s="82"/>
      <c r="O23" s="82"/>
      <c r="P23" s="82"/>
      <c r="Q23" s="82"/>
      <c r="R23" s="82"/>
      <c r="S23" s="82"/>
      <c r="T23" s="82"/>
      <c r="U23" s="82"/>
      <c r="V23" s="82"/>
      <c r="W23" s="82"/>
      <c r="X23" s="82"/>
      <c r="Y23" s="82"/>
      <c r="Z23" s="82"/>
      <c r="AA23" s="82"/>
      <c r="AB23" s="82"/>
      <c r="AC23" s="82"/>
      <c r="AD23" s="82"/>
    </row>
    <row r="24" spans="1:30">
      <c r="B24" s="77" t="s">
        <v>54</v>
      </c>
      <c r="C24" s="360">
        <f>K6</f>
        <v>-9406.6</v>
      </c>
      <c r="F24" s="82"/>
      <c r="G24" s="82"/>
      <c r="H24" s="82"/>
      <c r="I24" s="82"/>
      <c r="J24" s="82"/>
      <c r="K24" s="82"/>
      <c r="L24" s="82"/>
      <c r="M24" s="82"/>
      <c r="N24" s="82"/>
      <c r="O24" s="82"/>
      <c r="P24" s="82"/>
      <c r="Q24" s="82"/>
      <c r="R24" s="82"/>
      <c r="S24" s="82"/>
      <c r="T24" s="82"/>
      <c r="U24" s="82"/>
      <c r="V24" s="82"/>
      <c r="W24" s="82"/>
      <c r="X24" s="82"/>
      <c r="Y24" s="82"/>
      <c r="Z24" s="82"/>
      <c r="AA24" s="82"/>
      <c r="AB24" s="82"/>
      <c r="AC24" s="82"/>
      <c r="AD24" s="82"/>
    </row>
    <row r="25" spans="1:30">
      <c r="B25" s="77" t="s">
        <v>55</v>
      </c>
      <c r="C25" s="360">
        <f>K5</f>
        <v>18202.8</v>
      </c>
      <c r="F25" s="82"/>
      <c r="G25" s="82"/>
      <c r="H25" s="82"/>
      <c r="I25" s="82"/>
      <c r="J25" s="82"/>
      <c r="K25" s="82"/>
      <c r="L25" s="82"/>
      <c r="M25" s="82"/>
      <c r="N25" s="82"/>
      <c r="O25" s="82"/>
      <c r="P25" s="82"/>
      <c r="Q25" s="82"/>
      <c r="R25" s="82"/>
      <c r="S25" s="82"/>
      <c r="T25" s="82"/>
      <c r="U25" s="82"/>
      <c r="V25" s="82"/>
      <c r="W25" s="82"/>
      <c r="X25" s="82"/>
      <c r="Y25" s="82"/>
      <c r="Z25" s="82"/>
      <c r="AA25" s="82"/>
      <c r="AB25" s="82"/>
      <c r="AC25" s="82"/>
      <c r="AD25" s="82"/>
    </row>
    <row r="26" spans="1:30">
      <c r="B26" s="110" t="s">
        <v>313</v>
      </c>
      <c r="C26" s="376">
        <f>SUM(C24:C25)</f>
        <v>8796.1999999999989</v>
      </c>
      <c r="F26" s="82"/>
      <c r="G26" s="82"/>
      <c r="H26" s="82"/>
      <c r="I26" s="82"/>
      <c r="J26" s="82"/>
      <c r="K26" s="82"/>
      <c r="L26" s="82"/>
      <c r="M26" s="82"/>
      <c r="N26" s="82"/>
      <c r="O26" s="82"/>
      <c r="P26" s="82"/>
      <c r="Q26" s="82"/>
      <c r="R26" s="82"/>
      <c r="S26" s="82"/>
      <c r="T26" s="82"/>
      <c r="U26" s="82"/>
      <c r="V26" s="82"/>
      <c r="W26" s="82"/>
      <c r="X26" s="82"/>
      <c r="Y26" s="82"/>
      <c r="Z26" s="82"/>
      <c r="AA26" s="82"/>
      <c r="AB26" s="82"/>
      <c r="AC26" s="82"/>
      <c r="AD26" s="82"/>
    </row>
    <row r="27" spans="1:30">
      <c r="C27" s="360"/>
      <c r="F27" s="82"/>
      <c r="G27" s="82"/>
      <c r="H27" s="82"/>
      <c r="I27" s="82"/>
      <c r="J27" s="82"/>
      <c r="K27" s="82"/>
      <c r="L27" s="82"/>
      <c r="M27" s="82"/>
      <c r="N27" s="82"/>
      <c r="O27" s="82"/>
      <c r="P27" s="82"/>
      <c r="Q27" s="82"/>
      <c r="R27" s="82"/>
      <c r="S27" s="82"/>
      <c r="T27" s="82"/>
      <c r="U27" s="82"/>
      <c r="V27" s="82"/>
      <c r="W27" s="82"/>
      <c r="X27" s="82"/>
      <c r="Y27" s="82"/>
      <c r="Z27" s="82"/>
      <c r="AA27" s="82"/>
      <c r="AB27" s="82"/>
      <c r="AC27" s="82"/>
      <c r="AD27" s="82"/>
    </row>
    <row r="28" spans="1:30">
      <c r="B28" s="354" t="s">
        <v>56</v>
      </c>
      <c r="C28" s="362">
        <f>C20-C22+C26</f>
        <v>2272.9273606591632</v>
      </c>
      <c r="J28" s="82"/>
      <c r="K28" s="82"/>
      <c r="L28" s="82"/>
      <c r="M28" s="82"/>
      <c r="N28" s="82"/>
      <c r="O28" s="82"/>
      <c r="P28" s="82"/>
      <c r="Q28" s="82"/>
      <c r="R28" s="82"/>
      <c r="S28" s="82"/>
      <c r="T28" s="82"/>
      <c r="U28" s="82"/>
      <c r="V28" s="82"/>
      <c r="W28" s="82"/>
      <c r="X28" s="82"/>
      <c r="Y28" s="82"/>
      <c r="Z28" s="82"/>
      <c r="AA28" s="82"/>
      <c r="AB28" s="82"/>
      <c r="AC28" s="82"/>
      <c r="AD28" s="82"/>
    </row>
    <row r="29" spans="1:30">
      <c r="J29" s="82"/>
      <c r="K29" s="82"/>
      <c r="L29" s="82"/>
      <c r="M29" s="82"/>
      <c r="N29" s="82"/>
      <c r="O29" s="82"/>
      <c r="P29" s="82"/>
      <c r="Q29" s="82"/>
      <c r="R29" s="82"/>
      <c r="S29" s="82"/>
      <c r="T29" s="82"/>
      <c r="U29" s="82"/>
      <c r="V29" s="82"/>
      <c r="W29" s="82"/>
      <c r="X29" s="82"/>
      <c r="Y29" s="82"/>
      <c r="Z29" s="82"/>
      <c r="AA29" s="82"/>
      <c r="AB29" s="82"/>
      <c r="AC29" s="82"/>
      <c r="AD29" s="82"/>
    </row>
    <row r="30" spans="1:30" ht="12" customHeight="1">
      <c r="J30" s="82"/>
      <c r="K30" s="82"/>
      <c r="L30" s="82"/>
      <c r="M30" s="82"/>
      <c r="N30" s="82"/>
      <c r="O30" s="82"/>
      <c r="P30" s="82"/>
      <c r="Q30" s="82"/>
      <c r="R30" s="82"/>
      <c r="S30" s="82"/>
      <c r="T30" s="82"/>
      <c r="U30" s="82"/>
      <c r="V30" s="82"/>
      <c r="W30" s="82"/>
      <c r="X30" s="82"/>
      <c r="Y30" s="82"/>
      <c r="Z30" s="82"/>
      <c r="AA30" s="82"/>
      <c r="AB30" s="82"/>
      <c r="AC30" s="82"/>
      <c r="AD30" s="82"/>
    </row>
    <row r="31" spans="1:30">
      <c r="J31" s="82"/>
      <c r="K31" s="82"/>
      <c r="L31" s="82"/>
      <c r="M31" s="82"/>
      <c r="N31" s="82"/>
      <c r="O31" s="82"/>
      <c r="P31" s="82"/>
      <c r="Q31" s="82"/>
      <c r="R31" s="82"/>
      <c r="S31" s="82"/>
      <c r="T31" s="82"/>
      <c r="U31" s="82"/>
      <c r="V31" s="82"/>
      <c r="W31" s="82"/>
      <c r="X31" s="82"/>
      <c r="Y31" s="82"/>
      <c r="Z31" s="82"/>
      <c r="AA31" s="82"/>
      <c r="AB31" s="82"/>
      <c r="AC31" s="82"/>
      <c r="AD31" s="82"/>
    </row>
    <row r="32" spans="1:30">
      <c r="J32" s="82"/>
      <c r="K32" s="82"/>
      <c r="L32" s="82"/>
      <c r="M32" s="82"/>
      <c r="N32" s="82"/>
      <c r="O32" s="82"/>
      <c r="P32" s="82"/>
      <c r="Q32" s="82"/>
      <c r="R32" s="82"/>
      <c r="S32" s="82"/>
      <c r="T32" s="82"/>
      <c r="U32" s="82"/>
      <c r="V32" s="82"/>
      <c r="W32" s="82"/>
      <c r="X32" s="82"/>
      <c r="Y32" s="82"/>
      <c r="Z32" s="82"/>
      <c r="AA32" s="82"/>
      <c r="AB32" s="82"/>
      <c r="AC32" s="82"/>
      <c r="AD32" s="82"/>
    </row>
    <row r="33" spans="10:30">
      <c r="J33" s="82"/>
      <c r="K33" s="82"/>
      <c r="L33" s="82"/>
      <c r="M33" s="82"/>
      <c r="N33" s="82"/>
      <c r="O33" s="82"/>
      <c r="P33" s="82"/>
      <c r="Q33" s="82"/>
      <c r="R33" s="82"/>
      <c r="S33" s="82"/>
      <c r="T33" s="82"/>
      <c r="U33" s="82"/>
      <c r="V33" s="82"/>
      <c r="W33" s="82"/>
      <c r="X33" s="82"/>
      <c r="Y33" s="82"/>
      <c r="Z33" s="82"/>
      <c r="AA33" s="82"/>
      <c r="AB33" s="82"/>
      <c r="AC33" s="82"/>
      <c r="AD33" s="82"/>
    </row>
    <row r="34" spans="10:30">
      <c r="J34" s="82"/>
      <c r="K34" s="82"/>
      <c r="L34" s="82"/>
      <c r="M34" s="82"/>
      <c r="N34" s="82"/>
      <c r="O34" s="82"/>
      <c r="P34" s="82"/>
      <c r="Q34" s="82"/>
      <c r="R34" s="82"/>
      <c r="S34" s="82"/>
      <c r="T34" s="82"/>
      <c r="U34" s="82"/>
      <c r="V34" s="82"/>
      <c r="W34" s="82"/>
      <c r="X34" s="82"/>
      <c r="Y34" s="82"/>
      <c r="Z34" s="82"/>
      <c r="AA34" s="82"/>
      <c r="AB34" s="82"/>
      <c r="AC34" s="82"/>
      <c r="AD34" s="82"/>
    </row>
    <row r="35" spans="10:30">
      <c r="J35" s="82"/>
      <c r="K35" s="82"/>
      <c r="L35" s="82"/>
      <c r="M35" s="82"/>
      <c r="N35" s="82"/>
      <c r="O35" s="82"/>
      <c r="P35" s="82"/>
      <c r="Q35" s="82"/>
      <c r="R35" s="82"/>
      <c r="S35" s="82"/>
      <c r="T35" s="82"/>
      <c r="U35" s="82"/>
      <c r="V35" s="82"/>
      <c r="W35" s="82"/>
      <c r="X35" s="82"/>
      <c r="Y35" s="82"/>
      <c r="Z35" s="82"/>
      <c r="AA35" s="82"/>
      <c r="AB35" s="82"/>
      <c r="AC35" s="82"/>
      <c r="AD35" s="82"/>
    </row>
    <row r="36" spans="10:30">
      <c r="J36" s="82"/>
      <c r="K36" s="82"/>
      <c r="L36" s="82"/>
      <c r="M36" s="82"/>
      <c r="N36" s="82"/>
      <c r="O36" s="82"/>
      <c r="P36" s="82"/>
      <c r="Q36" s="82"/>
      <c r="R36" s="82"/>
      <c r="S36" s="82"/>
      <c r="T36" s="82"/>
      <c r="U36" s="82"/>
      <c r="V36" s="82"/>
      <c r="W36" s="82"/>
      <c r="X36" s="82"/>
      <c r="Y36" s="82"/>
      <c r="Z36" s="82"/>
      <c r="AA36" s="82"/>
      <c r="AB36" s="82"/>
      <c r="AC36" s="82"/>
      <c r="AD36" s="82"/>
    </row>
    <row r="37" spans="10:30">
      <c r="J37" s="82"/>
      <c r="K37" s="82"/>
      <c r="L37" s="82"/>
      <c r="M37" s="82"/>
      <c r="N37" s="82"/>
      <c r="O37" s="82"/>
      <c r="P37" s="82"/>
      <c r="Q37" s="82"/>
      <c r="R37" s="82"/>
      <c r="S37" s="82"/>
      <c r="T37" s="82"/>
      <c r="U37" s="82"/>
      <c r="V37" s="82"/>
      <c r="W37" s="82"/>
      <c r="X37" s="82"/>
      <c r="Y37" s="82"/>
      <c r="Z37" s="82"/>
      <c r="AA37" s="82"/>
      <c r="AB37" s="82"/>
      <c r="AC37" s="82"/>
      <c r="AD37" s="82"/>
    </row>
    <row r="38" spans="10:30">
      <c r="J38" s="82"/>
      <c r="K38" s="82"/>
      <c r="L38" s="82"/>
      <c r="M38" s="82"/>
      <c r="N38" s="82"/>
      <c r="O38" s="82"/>
      <c r="P38" s="82"/>
      <c r="Q38" s="82"/>
      <c r="R38" s="82"/>
      <c r="S38" s="82"/>
      <c r="T38" s="82"/>
      <c r="U38" s="82"/>
      <c r="V38" s="82"/>
      <c r="W38" s="82"/>
      <c r="X38" s="82"/>
      <c r="Y38" s="82"/>
      <c r="Z38" s="82"/>
      <c r="AA38" s="82"/>
      <c r="AB38" s="82"/>
      <c r="AC38" s="82"/>
      <c r="AD38" s="82"/>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75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04"/>
  <sheetViews>
    <sheetView workbookViewId="0"/>
  </sheetViews>
  <sheetFormatPr defaultRowHeight="12"/>
  <cols>
    <col min="1" max="1" width="2" style="77" customWidth="1"/>
    <col min="2" max="2" width="26.140625" style="77" customWidth="1"/>
    <col min="3" max="3" width="12" style="77" bestFit="1" customWidth="1"/>
    <col min="4" max="4" width="10.28515625" style="77" customWidth="1"/>
    <col min="5" max="5" width="31.5703125" style="77" customWidth="1"/>
    <col min="6" max="6" width="11.85546875" style="77" bestFit="1" customWidth="1" collapsed="1"/>
    <col min="7" max="7" width="11.42578125" style="77" customWidth="1"/>
    <col min="8" max="8" width="13.5703125" style="77" customWidth="1"/>
    <col min="9" max="9" width="12.5703125" style="77" customWidth="1"/>
    <col min="10" max="10" width="9.28515625" style="77" customWidth="1"/>
    <col min="11" max="11" width="9.7109375" style="77" customWidth="1"/>
    <col min="12" max="12" width="9.85546875" style="77" customWidth="1"/>
    <col min="13" max="13" width="10.140625" style="77" customWidth="1"/>
    <col min="14" max="14" width="10.7109375" style="77" customWidth="1"/>
    <col min="15" max="15" width="11.28515625" style="77" customWidth="1"/>
    <col min="16" max="16" width="13.28515625" style="77" customWidth="1"/>
    <col min="17" max="17" width="12.28515625" style="77" customWidth="1"/>
    <col min="18" max="18" width="13.28515625" style="77" customWidth="1"/>
    <col min="19" max="19" width="11.42578125" style="77" customWidth="1"/>
    <col min="20"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66</v>
      </c>
      <c r="C1" s="75"/>
      <c r="D1" s="75"/>
      <c r="E1" s="75"/>
      <c r="F1" s="75"/>
      <c r="G1" s="75"/>
      <c r="H1" s="75"/>
      <c r="I1" s="75"/>
      <c r="J1" s="75"/>
      <c r="K1" s="75"/>
    </row>
    <row r="2" spans="1:31" ht="12" customHeight="1">
      <c r="C2" s="89"/>
    </row>
    <row r="3" spans="1:31" ht="12" customHeight="1">
      <c r="A3" s="79"/>
      <c r="B3" s="394" t="s">
        <v>50</v>
      </c>
      <c r="C3" s="360">
        <f>'FCFF &amp; FCFE'!C9</f>
        <v>678.28395387941509</v>
      </c>
      <c r="E3" s="247" t="str">
        <f>CONCATENATE("Industry: ",Drivers!$C$14)</f>
        <v>Industry: Aerospace &amp; Defense</v>
      </c>
      <c r="F3" s="347"/>
      <c r="G3" s="347"/>
      <c r="H3" s="347"/>
      <c r="I3" s="347"/>
      <c r="J3" s="347"/>
      <c r="K3" s="73"/>
      <c r="L3" s="73"/>
      <c r="M3" s="73"/>
      <c r="N3" s="73"/>
      <c r="O3" s="73"/>
      <c r="P3" s="73"/>
      <c r="Q3" s="73"/>
      <c r="R3" s="73"/>
      <c r="S3" s="73"/>
    </row>
    <row r="4" spans="1:31" ht="12" customHeight="1" thickBot="1">
      <c r="A4" s="84"/>
      <c r="B4" s="77" t="s">
        <v>106</v>
      </c>
      <c r="C4" s="360">
        <f>'FCFF &amp; FCFE'!C7</f>
        <v>-3561.7424854614196</v>
      </c>
      <c r="E4" s="291" t="s">
        <v>353</v>
      </c>
      <c r="F4" s="367"/>
      <c r="G4" s="367"/>
      <c r="H4" s="367"/>
      <c r="I4" s="367"/>
      <c r="J4" s="367"/>
      <c r="K4" s="146"/>
      <c r="L4" s="37"/>
      <c r="M4" s="37"/>
      <c r="N4" s="37"/>
      <c r="O4" s="146"/>
      <c r="P4" s="146"/>
      <c r="Q4" s="146"/>
      <c r="R4" s="146"/>
      <c r="S4" s="146"/>
      <c r="T4" s="81"/>
      <c r="U4" s="81"/>
      <c r="Z4" s="81"/>
    </row>
    <row r="5" spans="1:31" ht="12" customHeight="1">
      <c r="A5" s="84"/>
      <c r="B5" s="396" t="s">
        <v>70</v>
      </c>
      <c r="C5" s="397">
        <f>C3/C4</f>
        <v>-0.19043598930806593</v>
      </c>
      <c r="E5" s="402" t="s">
        <v>110</v>
      </c>
      <c r="F5" s="402" t="s">
        <v>33</v>
      </c>
      <c r="G5" s="403" t="s">
        <v>145</v>
      </c>
      <c r="H5" s="403" t="s">
        <v>170</v>
      </c>
      <c r="I5" s="403" t="s">
        <v>86</v>
      </c>
      <c r="J5" s="403" t="s">
        <v>107</v>
      </c>
      <c r="K5" s="99"/>
      <c r="L5" s="151"/>
      <c r="M5" s="151"/>
      <c r="N5" s="62"/>
      <c r="O5" s="176"/>
      <c r="P5" s="176"/>
      <c r="Q5" s="101"/>
      <c r="R5" s="63"/>
      <c r="S5" s="99"/>
      <c r="T5" s="82"/>
      <c r="U5" s="143"/>
      <c r="V5" s="82"/>
      <c r="W5" s="82"/>
      <c r="X5" s="82"/>
      <c r="Y5" s="82"/>
      <c r="Z5" s="82"/>
      <c r="AA5" s="82"/>
      <c r="AB5" s="82"/>
      <c r="AC5" s="82"/>
    </row>
    <row r="6" spans="1:31" ht="12" customHeight="1">
      <c r="A6" s="84"/>
      <c r="E6" s="62" t="s">
        <v>543</v>
      </c>
      <c r="F6" s="62" t="s">
        <v>542</v>
      </c>
      <c r="G6" s="286">
        <f>'Beta Calculation Data'!L6</f>
        <v>0</v>
      </c>
      <c r="H6" s="400">
        <v>717.7</v>
      </c>
      <c r="I6" s="101">
        <f>G6/H6</f>
        <v>0</v>
      </c>
      <c r="J6" s="607">
        <v>0</v>
      </c>
      <c r="K6" s="178"/>
      <c r="L6" s="151"/>
      <c r="M6" s="151"/>
      <c r="N6" s="62"/>
      <c r="O6" s="176"/>
      <c r="P6" s="170"/>
      <c r="Q6" s="101"/>
      <c r="R6" s="177"/>
      <c r="S6" s="178"/>
      <c r="T6" s="82"/>
      <c r="U6" s="143"/>
      <c r="V6" s="82"/>
      <c r="W6" s="82"/>
      <c r="X6" s="82"/>
      <c r="Y6" s="82"/>
      <c r="Z6" s="82"/>
      <c r="AA6" s="82"/>
      <c r="AB6" s="82"/>
      <c r="AC6" s="82"/>
    </row>
    <row r="7" spans="1:31" ht="12" customHeight="1">
      <c r="B7" s="77" t="s">
        <v>106</v>
      </c>
      <c r="C7" s="360">
        <f>'FCFF &amp; FCFE'!C7</f>
        <v>-3561.7424854614196</v>
      </c>
      <c r="E7" s="62" t="s">
        <v>545</v>
      </c>
      <c r="F7" s="147" t="s">
        <v>544</v>
      </c>
      <c r="G7" s="286">
        <f>'Beta Calculation Data'!L7</f>
        <v>0</v>
      </c>
      <c r="H7" s="286">
        <v>1133.4000000000001</v>
      </c>
      <c r="I7" s="101">
        <f t="shared" ref="I7:I70" si="0">G7/H7</f>
        <v>0</v>
      </c>
      <c r="J7" s="608">
        <v>7.0400000000000004E-2</v>
      </c>
      <c r="K7" s="99"/>
      <c r="L7" s="151"/>
      <c r="M7" s="151"/>
      <c r="N7" s="62"/>
      <c r="O7" s="176"/>
      <c r="P7" s="176"/>
      <c r="Q7" s="101"/>
      <c r="R7" s="63"/>
      <c r="S7" s="99"/>
      <c r="T7" s="82"/>
      <c r="U7" s="143"/>
      <c r="V7" s="82"/>
      <c r="W7" s="82"/>
      <c r="X7" s="82"/>
      <c r="Y7" s="82"/>
      <c r="Z7" s="82"/>
      <c r="AA7" s="82"/>
      <c r="AB7" s="82"/>
      <c r="AC7" s="82"/>
    </row>
    <row r="8" spans="1:31" ht="12" customHeight="1">
      <c r="A8" s="84"/>
      <c r="B8" s="77" t="s">
        <v>73</v>
      </c>
      <c r="C8" s="360">
        <f>'Accounting Adjustments'!G32</f>
        <v>38203.75</v>
      </c>
      <c r="E8" s="62" t="s">
        <v>547</v>
      </c>
      <c r="F8" s="147" t="s">
        <v>546</v>
      </c>
      <c r="G8" s="286">
        <f>'Beta Calculation Data'!L8</f>
        <v>54.768000000000001</v>
      </c>
      <c r="H8" s="400">
        <v>40.750999999999998</v>
      </c>
      <c r="I8" s="101">
        <f t="shared" si="0"/>
        <v>1.3439670192142525</v>
      </c>
      <c r="J8" s="607">
        <v>4.5100000000000001E-2</v>
      </c>
      <c r="K8" s="180"/>
      <c r="L8" s="151"/>
      <c r="M8" s="151"/>
      <c r="N8" s="62"/>
      <c r="O8" s="176"/>
      <c r="P8" s="170"/>
      <c r="Q8" s="101"/>
      <c r="R8" s="179"/>
      <c r="S8" s="180"/>
      <c r="T8" s="82"/>
      <c r="U8" s="143"/>
      <c r="V8" s="82"/>
      <c r="W8" s="82"/>
      <c r="X8" s="82"/>
      <c r="Y8" s="82"/>
      <c r="Z8" s="82"/>
      <c r="AA8" s="82"/>
      <c r="AB8" s="82"/>
      <c r="AC8" s="82"/>
    </row>
    <row r="9" spans="1:31" ht="12" customHeight="1">
      <c r="A9" s="84"/>
      <c r="B9" s="398" t="s">
        <v>327</v>
      </c>
      <c r="C9" s="130">
        <f>C7/C8</f>
        <v>-9.323017990279539E-2</v>
      </c>
      <c r="E9" s="62" t="s">
        <v>549</v>
      </c>
      <c r="F9" s="147" t="s">
        <v>548</v>
      </c>
      <c r="G9" s="286">
        <f>'Beta Calculation Data'!L9</f>
        <v>2237.6</v>
      </c>
      <c r="H9" s="286">
        <v>802.8</v>
      </c>
      <c r="I9" s="101">
        <f t="shared" si="0"/>
        <v>2.7872446437468859</v>
      </c>
      <c r="J9" s="610">
        <v>9.6299999999999997E-2</v>
      </c>
      <c r="K9" s="99"/>
      <c r="L9" s="151"/>
      <c r="M9" s="151"/>
      <c r="N9" s="62"/>
      <c r="O9" s="176"/>
      <c r="P9" s="170"/>
      <c r="Q9" s="101"/>
      <c r="R9" s="63"/>
      <c r="S9" s="99"/>
      <c r="T9" s="82"/>
      <c r="U9" s="143"/>
      <c r="V9" s="82"/>
      <c r="W9" s="82"/>
      <c r="X9" s="82"/>
      <c r="Y9" s="82"/>
      <c r="Z9" s="82"/>
      <c r="AA9" s="82"/>
      <c r="AB9" s="82"/>
      <c r="AC9" s="82"/>
    </row>
    <row r="10" spans="1:31">
      <c r="A10" s="80"/>
      <c r="E10" s="62" t="s">
        <v>551</v>
      </c>
      <c r="F10" s="147" t="s">
        <v>550</v>
      </c>
      <c r="G10" s="286">
        <f>'Beta Calculation Data'!L10</f>
        <v>0.42199999999999999</v>
      </c>
      <c r="H10" s="286">
        <v>53.735999999999997</v>
      </c>
      <c r="I10" s="101">
        <f t="shared" si="0"/>
        <v>7.853208277504839E-3</v>
      </c>
      <c r="J10" s="607">
        <v>-23.364899999999999</v>
      </c>
      <c r="K10" s="99"/>
      <c r="L10" s="151"/>
      <c r="M10" s="151"/>
      <c r="N10" s="62"/>
      <c r="O10" s="176"/>
      <c r="P10" s="170"/>
      <c r="Q10" s="101"/>
      <c r="R10" s="63"/>
      <c r="S10" s="99"/>
      <c r="T10" s="82"/>
      <c r="U10" s="143"/>
      <c r="V10" s="82"/>
      <c r="W10" s="82"/>
      <c r="X10" s="82"/>
      <c r="Y10" s="82"/>
      <c r="Z10" s="82"/>
      <c r="AA10" s="82"/>
      <c r="AB10" s="82"/>
      <c r="AC10" s="82"/>
    </row>
    <row r="11" spans="1:31">
      <c r="A11" s="84"/>
      <c r="B11" s="354" t="s">
        <v>66</v>
      </c>
      <c r="C11" s="268">
        <f>C5*C9</f>
        <v>1.7754381543157807E-2</v>
      </c>
      <c r="E11" s="62" t="s">
        <v>553</v>
      </c>
      <c r="F11" s="62" t="s">
        <v>552</v>
      </c>
      <c r="G11" s="286">
        <f>'Beta Calculation Data'!L11</f>
        <v>0</v>
      </c>
      <c r="H11" s="286">
        <v>436.52</v>
      </c>
      <c r="I11" s="101">
        <f t="shared" si="0"/>
        <v>0</v>
      </c>
      <c r="J11" s="607">
        <v>-27.888100000000001</v>
      </c>
      <c r="K11" s="99"/>
      <c r="L11" s="151"/>
      <c r="M11" s="151"/>
      <c r="N11" s="62"/>
      <c r="O11" s="176"/>
      <c r="P11" s="170"/>
      <c r="Q11" s="101"/>
      <c r="R11" s="63"/>
      <c r="S11" s="99"/>
      <c r="T11" s="82"/>
      <c r="U11" s="143"/>
      <c r="V11" s="82"/>
      <c r="W11" s="82"/>
      <c r="X11" s="82"/>
      <c r="Y11" s="82"/>
      <c r="Z11" s="82"/>
      <c r="AA11" s="82"/>
      <c r="AB11" s="82"/>
      <c r="AC11" s="82"/>
    </row>
    <row r="12" spans="1:31">
      <c r="B12" s="82"/>
      <c r="E12" s="62" t="s">
        <v>555</v>
      </c>
      <c r="F12" s="62" t="s">
        <v>554</v>
      </c>
      <c r="G12" s="286">
        <f>'Beta Calculation Data'!L12</f>
        <v>534.89400000000001</v>
      </c>
      <c r="H12" s="286">
        <v>403.92</v>
      </c>
      <c r="I12" s="101">
        <f t="shared" si="0"/>
        <v>1.3242572786690434</v>
      </c>
      <c r="J12" s="607">
        <v>-6.54E-2</v>
      </c>
      <c r="K12" s="99"/>
      <c r="L12" s="151"/>
      <c r="M12" s="151"/>
      <c r="N12" s="62"/>
      <c r="O12" s="176"/>
      <c r="P12" s="170"/>
      <c r="Q12" s="101"/>
      <c r="R12" s="63"/>
      <c r="S12" s="99"/>
      <c r="T12" s="82"/>
      <c r="U12" s="143"/>
      <c r="V12" s="82"/>
      <c r="W12" s="82"/>
      <c r="X12" s="82"/>
      <c r="Y12" s="82"/>
      <c r="Z12" s="82"/>
      <c r="AA12" s="82"/>
      <c r="AB12" s="82"/>
      <c r="AC12" s="82"/>
    </row>
    <row r="13" spans="1:31">
      <c r="A13" s="84"/>
      <c r="B13" s="348" t="s">
        <v>171</v>
      </c>
      <c r="C13" s="347"/>
      <c r="E13" s="62" t="s">
        <v>557</v>
      </c>
      <c r="F13" s="147" t="s">
        <v>556</v>
      </c>
      <c r="G13" s="286">
        <f>'Beta Calculation Data'!L13</f>
        <v>107.79</v>
      </c>
      <c r="H13" s="286">
        <v>321.91899999999998</v>
      </c>
      <c r="I13" s="101">
        <f t="shared" si="0"/>
        <v>0.33483578167178701</v>
      </c>
      <c r="J13" s="607">
        <v>-0.35420000000000001</v>
      </c>
      <c r="K13" s="99"/>
      <c r="L13" s="151"/>
      <c r="M13" s="151"/>
      <c r="N13" s="62"/>
      <c r="O13" s="176"/>
      <c r="P13" s="171"/>
      <c r="Q13" s="101"/>
      <c r="R13" s="63"/>
      <c r="S13" s="99"/>
      <c r="T13" s="82"/>
      <c r="U13" s="143"/>
      <c r="V13" s="82"/>
      <c r="W13" s="82"/>
      <c r="X13" s="82"/>
      <c r="Y13" s="82"/>
      <c r="Z13" s="82"/>
      <c r="AA13" s="82"/>
      <c r="AB13" s="82"/>
      <c r="AC13" s="82"/>
    </row>
    <row r="14" spans="1:31" ht="12.75" thickBot="1">
      <c r="B14" s="349"/>
      <c r="C14" s="367"/>
      <c r="D14" s="82"/>
      <c r="E14" s="62" t="s">
        <v>559</v>
      </c>
      <c r="F14" s="147" t="s">
        <v>558</v>
      </c>
      <c r="G14" s="286">
        <f>'Beta Calculation Data'!L14</f>
        <v>487.11700000000002</v>
      </c>
      <c r="H14" s="287">
        <v>795.80899999999997</v>
      </c>
      <c r="I14" s="101">
        <f t="shared" si="0"/>
        <v>0.6121029040887952</v>
      </c>
      <c r="J14" s="607">
        <v>1.9300000000000001E-2</v>
      </c>
      <c r="K14" s="99"/>
      <c r="L14" s="151"/>
      <c r="M14" s="151"/>
      <c r="N14" s="62"/>
      <c r="O14" s="176"/>
      <c r="P14" s="170"/>
      <c r="Q14" s="101"/>
      <c r="R14" s="63"/>
      <c r="S14" s="99"/>
      <c r="T14" s="82"/>
      <c r="U14" s="143"/>
      <c r="V14" s="82"/>
      <c r="W14" s="82"/>
      <c r="X14" s="82"/>
      <c r="Y14" s="82"/>
      <c r="Z14" s="82"/>
      <c r="AA14" s="82"/>
      <c r="AB14" s="82"/>
      <c r="AC14" s="82"/>
    </row>
    <row r="15" spans="1:31">
      <c r="B15" s="77" t="s">
        <v>202</v>
      </c>
      <c r="C15" s="399">
        <f>_xlfn.PERCENTILE.EXC(I6:I78,0.9)</f>
        <v>1.6987912952615396</v>
      </c>
      <c r="E15" s="62" t="s">
        <v>561</v>
      </c>
      <c r="F15" s="147" t="s">
        <v>560</v>
      </c>
      <c r="G15" s="286">
        <f>'Beta Calculation Data'!L15</f>
        <v>1189.9349999999999</v>
      </c>
      <c r="H15" s="286">
        <v>1942.4580000000001</v>
      </c>
      <c r="I15" s="101">
        <f t="shared" si="0"/>
        <v>0.61259239582014124</v>
      </c>
      <c r="J15" s="607">
        <v>8.2799999999999999E-2</v>
      </c>
      <c r="K15" s="99"/>
      <c r="L15" s="151"/>
      <c r="M15" s="151"/>
      <c r="N15" s="62"/>
      <c r="O15" s="176"/>
      <c r="P15" s="171"/>
      <c r="Q15" s="101"/>
      <c r="R15" s="63"/>
      <c r="S15" s="99"/>
      <c r="T15" s="82"/>
      <c r="U15" s="143"/>
      <c r="V15" s="82"/>
      <c r="W15" s="82"/>
      <c r="X15" s="82"/>
      <c r="Y15" s="82"/>
      <c r="Z15" s="82"/>
      <c r="AA15" s="82"/>
      <c r="AB15" s="82"/>
      <c r="AC15" s="82"/>
    </row>
    <row r="16" spans="1:31">
      <c r="B16" s="77" t="s">
        <v>203</v>
      </c>
      <c r="C16" s="399">
        <f>_xlfn.PERCENTILE.EXC(I6:I78,0.75)</f>
        <v>1.1510656405628579</v>
      </c>
      <c r="E16" s="62" t="s">
        <v>563</v>
      </c>
      <c r="F16" s="62" t="s">
        <v>562</v>
      </c>
      <c r="G16" s="286">
        <f>'Beta Calculation Data'!L16</f>
        <v>0</v>
      </c>
      <c r="H16" s="287">
        <v>12.154999999999999</v>
      </c>
      <c r="I16" s="101">
        <f t="shared" si="0"/>
        <v>0</v>
      </c>
      <c r="J16" s="607">
        <v>-1.7861</v>
      </c>
      <c r="K16" s="99"/>
      <c r="L16" s="151"/>
      <c r="M16" s="151"/>
      <c r="N16" s="62"/>
      <c r="O16" s="176"/>
      <c r="P16" s="170"/>
      <c r="Q16" s="101"/>
      <c r="R16" s="63"/>
      <c r="S16" s="99"/>
      <c r="T16" s="82"/>
      <c r="U16" s="143"/>
      <c r="V16" s="82"/>
      <c r="W16" s="82"/>
      <c r="X16" s="82"/>
      <c r="Y16" s="82"/>
      <c r="Z16" s="82"/>
      <c r="AA16" s="82"/>
      <c r="AB16" s="82"/>
      <c r="AC16" s="82"/>
      <c r="AD16" s="82"/>
      <c r="AE16" s="82"/>
    </row>
    <row r="17" spans="1:31">
      <c r="B17" s="77" t="s">
        <v>204</v>
      </c>
      <c r="C17" s="399">
        <f>_xlfn.PERCENTILE.EXC(I6:I78,0.5)</f>
        <v>0.61259239582014124</v>
      </c>
      <c r="E17" s="6" t="s">
        <v>565</v>
      </c>
      <c r="F17" s="147" t="s">
        <v>564</v>
      </c>
      <c r="G17" s="286">
        <f>'Beta Calculation Data'!L17</f>
        <v>2232.8339999999998</v>
      </c>
      <c r="H17" s="286">
        <v>2037.184</v>
      </c>
      <c r="I17" s="101">
        <f t="shared" si="0"/>
        <v>1.0960394348276836</v>
      </c>
      <c r="J17" s="607">
        <v>0.13980000000000001</v>
      </c>
      <c r="K17" s="99"/>
      <c r="L17" s="151"/>
      <c r="M17" s="151"/>
      <c r="N17" s="62"/>
      <c r="O17" s="176"/>
      <c r="P17" s="170"/>
      <c r="Q17" s="101"/>
      <c r="R17" s="63"/>
      <c r="S17" s="99"/>
      <c r="T17" s="82"/>
      <c r="U17" s="143"/>
      <c r="V17" s="82"/>
      <c r="W17" s="82"/>
      <c r="X17" s="82"/>
      <c r="Y17" s="82"/>
      <c r="Z17" s="82"/>
      <c r="AA17" s="82"/>
      <c r="AB17" s="82"/>
      <c r="AC17" s="82"/>
      <c r="AD17" s="82"/>
      <c r="AE17" s="82"/>
    </row>
    <row r="18" spans="1:31">
      <c r="A18" s="84"/>
      <c r="B18" s="77" t="s">
        <v>205</v>
      </c>
      <c r="C18" s="399">
        <f>_xlfn.PERCENTILE.EXC(I6:I78,0.25)</f>
        <v>0</v>
      </c>
      <c r="E18" s="121" t="s">
        <v>567</v>
      </c>
      <c r="F18" s="59" t="s">
        <v>566</v>
      </c>
      <c r="G18" s="286">
        <f>'Beta Calculation Data'!L18</f>
        <v>48.036000000000001</v>
      </c>
      <c r="H18" s="286">
        <v>45.994</v>
      </c>
      <c r="I18" s="101">
        <f t="shared" si="0"/>
        <v>1.0443970952732966</v>
      </c>
      <c r="J18" s="607">
        <v>-0.1552</v>
      </c>
      <c r="K18" s="99"/>
      <c r="L18" s="151"/>
      <c r="M18" s="151"/>
      <c r="N18" s="62"/>
      <c r="O18" s="176"/>
      <c r="P18" s="170"/>
      <c r="Q18" s="101"/>
      <c r="R18" s="63"/>
      <c r="S18" s="99"/>
      <c r="T18" s="82"/>
      <c r="U18" s="143"/>
      <c r="V18" s="82"/>
      <c r="W18" s="82"/>
      <c r="X18" s="82"/>
      <c r="Y18" s="82"/>
      <c r="Z18" s="82"/>
      <c r="AA18" s="82"/>
      <c r="AB18" s="82"/>
      <c r="AC18" s="82"/>
      <c r="AD18" s="82"/>
      <c r="AE18" s="82"/>
    </row>
    <row r="19" spans="1:31">
      <c r="E19" s="121" t="s">
        <v>569</v>
      </c>
      <c r="F19" s="121" t="s">
        <v>568</v>
      </c>
      <c r="G19" s="286">
        <f>'Beta Calculation Data'!L19</f>
        <v>3901.8</v>
      </c>
      <c r="H19" s="286">
        <v>6660.9</v>
      </c>
      <c r="I19" s="101">
        <f t="shared" si="0"/>
        <v>0.58577669684276901</v>
      </c>
      <c r="J19" s="607">
        <v>9.4799999999999995E-2</v>
      </c>
      <c r="K19" s="127"/>
      <c r="L19" s="145"/>
      <c r="M19" s="151"/>
      <c r="N19" s="62"/>
      <c r="O19" s="176"/>
      <c r="P19" s="170"/>
      <c r="Q19" s="101"/>
      <c r="R19" s="63"/>
      <c r="S19" s="127"/>
      <c r="T19" s="82"/>
      <c r="U19" s="143"/>
      <c r="V19" s="82"/>
      <c r="W19" s="82"/>
      <c r="X19" s="82"/>
      <c r="Y19" s="82"/>
      <c r="Z19" s="82"/>
      <c r="AA19" s="82"/>
      <c r="AB19" s="82"/>
      <c r="AC19" s="82"/>
      <c r="AD19" s="82"/>
      <c r="AE19" s="82"/>
    </row>
    <row r="20" spans="1:31">
      <c r="A20" s="84"/>
      <c r="B20" s="348" t="s">
        <v>383</v>
      </c>
      <c r="C20" s="347"/>
      <c r="E20" s="121" t="s">
        <v>571</v>
      </c>
      <c r="F20" s="121" t="s">
        <v>570</v>
      </c>
      <c r="G20" s="286">
        <f>'Beta Calculation Data'!L20</f>
        <v>437.72899999999998</v>
      </c>
      <c r="H20" s="286">
        <v>248.33</v>
      </c>
      <c r="I20" s="101">
        <f t="shared" si="0"/>
        <v>1.7626907743728102</v>
      </c>
      <c r="J20" s="607">
        <v>5.7099999999999998E-2</v>
      </c>
      <c r="K20" s="99"/>
      <c r="L20" s="145"/>
      <c r="M20" s="151"/>
      <c r="N20" s="62"/>
      <c r="O20" s="176"/>
      <c r="P20" s="170"/>
      <c r="Q20" s="101"/>
      <c r="R20" s="63"/>
      <c r="S20" s="99"/>
      <c r="T20" s="82"/>
      <c r="U20" s="143"/>
      <c r="V20" s="82"/>
      <c r="W20" s="82"/>
      <c r="X20" s="82"/>
      <c r="Y20" s="82"/>
      <c r="Z20" s="82"/>
      <c r="AA20" s="82"/>
      <c r="AB20" s="82"/>
      <c r="AC20" s="82"/>
      <c r="AD20" s="82"/>
      <c r="AE20" s="82"/>
    </row>
    <row r="21" spans="1:31" ht="12.75" thickBot="1">
      <c r="B21" s="349"/>
      <c r="C21" s="367"/>
      <c r="E21" s="121" t="s">
        <v>573</v>
      </c>
      <c r="F21" s="121" t="s">
        <v>572</v>
      </c>
      <c r="G21" s="286">
        <f>'Beta Calculation Data'!L21</f>
        <v>22.225999999999999</v>
      </c>
      <c r="H21" s="286">
        <v>43.383000000000003</v>
      </c>
      <c r="I21" s="101">
        <f t="shared" si="0"/>
        <v>0.51232049420279824</v>
      </c>
      <c r="J21" s="607">
        <v>0.2263</v>
      </c>
      <c r="K21" s="99"/>
      <c r="L21" s="145"/>
      <c r="M21" s="151"/>
      <c r="N21" s="62"/>
      <c r="O21" s="176"/>
      <c r="P21" s="170"/>
      <c r="Q21" s="101"/>
      <c r="R21" s="181"/>
      <c r="S21" s="99"/>
      <c r="T21" s="82"/>
      <c r="U21" s="143"/>
      <c r="V21" s="82"/>
      <c r="W21" s="82"/>
      <c r="X21" s="82"/>
      <c r="Y21" s="82"/>
      <c r="Z21" s="82"/>
      <c r="AA21" s="82"/>
      <c r="AB21" s="82"/>
      <c r="AC21" s="82"/>
      <c r="AD21" s="82"/>
      <c r="AE21" s="82"/>
    </row>
    <row r="22" spans="1:31">
      <c r="B22" s="77" t="s">
        <v>202</v>
      </c>
      <c r="C22" s="225">
        <f>_xlfn.PERCENTILE.EXC(J6:J78,0.9)</f>
        <v>0.17494999999999999</v>
      </c>
      <c r="E22" s="121" t="s">
        <v>575</v>
      </c>
      <c r="F22" s="121" t="s">
        <v>574</v>
      </c>
      <c r="G22" s="286">
        <f>'Beta Calculation Data'!L22</f>
        <v>85.608000000000004</v>
      </c>
      <c r="H22" s="286">
        <v>20.821000000000002</v>
      </c>
      <c r="I22" s="101">
        <f t="shared" si="0"/>
        <v>4.1116180779021176</v>
      </c>
      <c r="J22" s="607">
        <v>4.3099999999999999E-2</v>
      </c>
      <c r="K22" s="99"/>
      <c r="L22" s="145"/>
      <c r="M22" s="151"/>
      <c r="N22" s="62"/>
      <c r="O22" s="176"/>
      <c r="P22" s="170"/>
      <c r="Q22" s="101"/>
      <c r="R22" s="63"/>
      <c r="S22" s="99"/>
      <c r="T22" s="82"/>
      <c r="U22" s="143"/>
      <c r="V22" s="82"/>
      <c r="W22" s="82"/>
      <c r="X22" s="82"/>
      <c r="Y22" s="82"/>
      <c r="Z22" s="82"/>
      <c r="AA22" s="82"/>
      <c r="AB22" s="82"/>
      <c r="AC22" s="82"/>
      <c r="AD22" s="82"/>
      <c r="AE22" s="82"/>
    </row>
    <row r="23" spans="1:31">
      <c r="B23" s="77" t="s">
        <v>203</v>
      </c>
      <c r="C23" s="225">
        <f>_xlfn.PERCENTILE.EXC(J6:J78,0.75)</f>
        <v>9.5924999999999996E-2</v>
      </c>
      <c r="E23" s="121" t="s">
        <v>577</v>
      </c>
      <c r="F23" s="121" t="s">
        <v>576</v>
      </c>
      <c r="G23" s="286">
        <f>'Beta Calculation Data'!L23</f>
        <v>2557.0250000000001</v>
      </c>
      <c r="H23" s="286">
        <v>3240.4879999999998</v>
      </c>
      <c r="I23" s="101">
        <f t="shared" si="0"/>
        <v>0.78908639686368232</v>
      </c>
      <c r="J23" s="607">
        <v>0.17230000000000001</v>
      </c>
      <c r="K23" s="127"/>
      <c r="L23" s="145"/>
      <c r="M23" s="151"/>
      <c r="N23" s="62"/>
      <c r="O23" s="176"/>
      <c r="P23" s="170"/>
      <c r="Q23" s="101"/>
      <c r="R23" s="63"/>
      <c r="S23" s="99"/>
      <c r="T23" s="82"/>
      <c r="U23" s="143"/>
      <c r="V23" s="82"/>
      <c r="W23" s="82"/>
      <c r="X23" s="82"/>
      <c r="Y23" s="82"/>
      <c r="Z23" s="82"/>
      <c r="AA23" s="82"/>
      <c r="AB23" s="82"/>
      <c r="AC23" s="82"/>
      <c r="AD23" s="82"/>
      <c r="AE23" s="82"/>
    </row>
    <row r="24" spans="1:31">
      <c r="B24" s="77" t="s">
        <v>204</v>
      </c>
      <c r="C24" s="225">
        <f>_xlfn.PERCENTILE.EXC(J6:J78,0.5)</f>
        <v>4.41E-2</v>
      </c>
      <c r="E24" s="401" t="s">
        <v>579</v>
      </c>
      <c r="F24" s="121" t="s">
        <v>578</v>
      </c>
      <c r="G24" s="286">
        <f>'Beta Calculation Data'!L24</f>
        <v>712.53700000000003</v>
      </c>
      <c r="H24" s="286">
        <v>772.80499999999995</v>
      </c>
      <c r="I24" s="101">
        <f t="shared" si="0"/>
        <v>0.92201396212498632</v>
      </c>
      <c r="J24" s="607">
        <v>6.5199999999999994E-2</v>
      </c>
      <c r="K24" s="99"/>
      <c r="L24" s="145"/>
      <c r="M24" s="151"/>
      <c r="N24" s="62"/>
      <c r="O24" s="176"/>
      <c r="P24" s="170"/>
      <c r="Q24" s="101"/>
      <c r="R24" s="63"/>
      <c r="S24" s="99"/>
      <c r="T24" s="82"/>
      <c r="U24" s="143"/>
      <c r="V24" s="82"/>
      <c r="W24" s="82"/>
      <c r="X24" s="82"/>
      <c r="Y24" s="82"/>
      <c r="Z24" s="82"/>
      <c r="AA24" s="82"/>
      <c r="AB24" s="82"/>
      <c r="AC24" s="82"/>
      <c r="AD24" s="82"/>
      <c r="AE24" s="82"/>
    </row>
    <row r="25" spans="1:31">
      <c r="B25" s="77" t="s">
        <v>205</v>
      </c>
      <c r="C25" s="225">
        <f>_xlfn.PERCENTILE.EXC(J6:J78,0.25)</f>
        <v>-0.52010000000000001</v>
      </c>
      <c r="E25" s="401" t="s">
        <v>581</v>
      </c>
      <c r="F25" s="121" t="s">
        <v>580</v>
      </c>
      <c r="G25" s="286">
        <f>'Beta Calculation Data'!L25</f>
        <v>0</v>
      </c>
      <c r="H25" s="286">
        <v>35.020000000000003</v>
      </c>
      <c r="I25" s="101">
        <f t="shared" si="0"/>
        <v>0</v>
      </c>
      <c r="J25" s="607">
        <v>-3.2785000000000002</v>
      </c>
      <c r="K25" s="99"/>
      <c r="L25" s="145"/>
      <c r="M25" s="151"/>
      <c r="N25" s="62"/>
      <c r="O25" s="176"/>
      <c r="P25" s="87"/>
      <c r="Q25" s="101"/>
      <c r="R25" s="181"/>
      <c r="S25" s="127"/>
      <c r="T25" s="82"/>
      <c r="U25" s="143"/>
      <c r="V25" s="82"/>
      <c r="W25" s="82"/>
      <c r="X25" s="82"/>
      <c r="Y25" s="82"/>
      <c r="Z25" s="82"/>
      <c r="AA25" s="82"/>
      <c r="AB25" s="82"/>
      <c r="AC25" s="82"/>
      <c r="AD25" s="82"/>
      <c r="AE25" s="82"/>
    </row>
    <row r="26" spans="1:31">
      <c r="E26" s="84" t="s">
        <v>583</v>
      </c>
      <c r="F26" s="84" t="s">
        <v>582</v>
      </c>
      <c r="G26" s="286">
        <f>'Beta Calculation Data'!L26</f>
        <v>0</v>
      </c>
      <c r="H26" s="286">
        <v>1986</v>
      </c>
      <c r="I26" s="101">
        <f t="shared" si="0"/>
        <v>0</v>
      </c>
      <c r="J26" s="607">
        <v>7.8E-2</v>
      </c>
      <c r="K26" s="99"/>
      <c r="L26" s="145"/>
      <c r="M26" s="151"/>
      <c r="N26" s="62"/>
      <c r="O26" s="176"/>
      <c r="P26" s="170"/>
      <c r="Q26" s="101"/>
      <c r="R26" s="63"/>
      <c r="S26" s="127"/>
      <c r="T26" s="82"/>
      <c r="U26" s="143"/>
      <c r="V26" s="82"/>
      <c r="W26" s="82"/>
      <c r="X26" s="82"/>
      <c r="Y26" s="82"/>
      <c r="Z26" s="82"/>
      <c r="AA26" s="82"/>
      <c r="AB26" s="82"/>
      <c r="AC26" s="82"/>
      <c r="AD26" s="82"/>
      <c r="AE26" s="82"/>
    </row>
    <row r="27" spans="1:31">
      <c r="E27" s="84" t="s">
        <v>585</v>
      </c>
      <c r="F27" s="84" t="s">
        <v>584</v>
      </c>
      <c r="G27" s="286">
        <f>'Beta Calculation Data'!L27</f>
        <v>0</v>
      </c>
      <c r="H27" s="286">
        <v>362.601</v>
      </c>
      <c r="I27" s="101">
        <f t="shared" si="0"/>
        <v>0</v>
      </c>
      <c r="J27" s="607">
        <v>-6.8585000000000003</v>
      </c>
      <c r="K27" s="99"/>
      <c r="L27" s="166"/>
      <c r="M27" s="151"/>
      <c r="N27" s="62"/>
      <c r="O27" s="176"/>
      <c r="P27" s="88"/>
      <c r="Q27" s="101"/>
      <c r="R27" s="36"/>
      <c r="S27" s="118"/>
      <c r="T27" s="82"/>
      <c r="U27" s="143"/>
      <c r="V27" s="82"/>
      <c r="W27" s="82"/>
      <c r="X27" s="82"/>
      <c r="Y27" s="82"/>
      <c r="Z27" s="82"/>
      <c r="AA27" s="82"/>
      <c r="AB27" s="82"/>
      <c r="AC27" s="82"/>
      <c r="AD27" s="82"/>
      <c r="AE27" s="82"/>
    </row>
    <row r="28" spans="1:31">
      <c r="E28" s="84" t="s">
        <v>587</v>
      </c>
      <c r="F28" s="84" t="s">
        <v>586</v>
      </c>
      <c r="G28" s="286">
        <f>'Beta Calculation Data'!L28</f>
        <v>3850.1</v>
      </c>
      <c r="H28" s="286">
        <v>6694.8</v>
      </c>
      <c r="I28" s="101">
        <f t="shared" si="0"/>
        <v>0.57508812809942045</v>
      </c>
      <c r="J28" s="607">
        <v>-1.03E-2</v>
      </c>
      <c r="K28" s="99"/>
      <c r="L28" s="167"/>
      <c r="M28" s="243"/>
      <c r="N28" s="62"/>
      <c r="O28" s="176"/>
      <c r="P28" s="99"/>
      <c r="Q28" s="99"/>
      <c r="R28" s="63"/>
      <c r="S28" s="99"/>
      <c r="T28" s="82"/>
      <c r="U28" s="82"/>
      <c r="V28" s="82"/>
      <c r="W28" s="82"/>
      <c r="X28" s="82"/>
      <c r="Y28" s="82"/>
      <c r="Z28" s="82"/>
      <c r="AA28" s="82"/>
      <c r="AB28" s="82"/>
      <c r="AC28" s="82"/>
      <c r="AD28" s="82"/>
      <c r="AE28" s="82"/>
    </row>
    <row r="29" spans="1:31">
      <c r="E29" s="84" t="s">
        <v>589</v>
      </c>
      <c r="F29" s="84" t="s">
        <v>588</v>
      </c>
      <c r="G29" s="286">
        <f>'Beta Calculation Data'!L29</f>
        <v>0</v>
      </c>
      <c r="H29" s="286">
        <v>3522.9409999999998</v>
      </c>
      <c r="I29" s="101">
        <f t="shared" si="0"/>
        <v>0</v>
      </c>
      <c r="J29" s="607">
        <v>5.4199999999999998E-2</v>
      </c>
      <c r="K29" s="99"/>
      <c r="L29" s="151"/>
      <c r="M29" s="244"/>
      <c r="N29" s="62"/>
      <c r="O29" s="176"/>
      <c r="Q29" s="144"/>
      <c r="R29" s="145"/>
      <c r="S29" s="82"/>
      <c r="T29" s="82"/>
      <c r="U29" s="82"/>
      <c r="V29" s="82"/>
      <c r="W29" s="82"/>
      <c r="X29" s="82"/>
      <c r="Y29" s="82"/>
      <c r="Z29" s="82"/>
      <c r="AA29" s="82"/>
      <c r="AB29" s="82"/>
      <c r="AC29" s="82"/>
      <c r="AD29" s="82"/>
      <c r="AE29" s="82"/>
    </row>
    <row r="30" spans="1:31" ht="12" customHeight="1">
      <c r="E30" s="84" t="s">
        <v>591</v>
      </c>
      <c r="F30" s="84" t="s">
        <v>590</v>
      </c>
      <c r="G30" s="286">
        <f>'Beta Calculation Data'!L30</f>
        <v>0</v>
      </c>
      <c r="H30" s="286">
        <v>13.087999999999999</v>
      </c>
      <c r="I30" s="101">
        <f t="shared" si="0"/>
        <v>0</v>
      </c>
      <c r="J30" s="607">
        <v>0</v>
      </c>
      <c r="K30" s="99"/>
      <c r="L30" s="151"/>
      <c r="M30" s="166"/>
      <c r="N30" s="62"/>
      <c r="O30" s="176"/>
      <c r="P30" s="73"/>
      <c r="Q30" s="73"/>
      <c r="R30" s="73"/>
      <c r="S30" s="73"/>
      <c r="T30" s="82"/>
      <c r="U30" s="82"/>
      <c r="V30" s="82"/>
      <c r="W30" s="82"/>
      <c r="X30" s="82"/>
      <c r="Y30" s="82"/>
      <c r="Z30" s="82"/>
      <c r="AA30" s="82"/>
      <c r="AB30" s="82"/>
      <c r="AC30" s="82"/>
      <c r="AD30" s="82"/>
      <c r="AE30" s="82"/>
    </row>
    <row r="31" spans="1:31">
      <c r="E31" s="84" t="s">
        <v>593</v>
      </c>
      <c r="F31" s="84" t="s">
        <v>592</v>
      </c>
      <c r="G31" s="286">
        <f>'Beta Calculation Data'!L31</f>
        <v>0</v>
      </c>
      <c r="H31" s="286">
        <v>61.561</v>
      </c>
      <c r="I31" s="101">
        <f t="shared" si="0"/>
        <v>0</v>
      </c>
      <c r="J31" s="607">
        <v>0</v>
      </c>
      <c r="K31" s="99"/>
      <c r="L31" s="151"/>
      <c r="M31" s="167"/>
      <c r="N31" s="62"/>
      <c r="O31" s="176"/>
      <c r="P31" s="146"/>
      <c r="Q31" s="146"/>
      <c r="R31" s="146"/>
      <c r="S31" s="146"/>
      <c r="T31" s="82"/>
      <c r="U31" s="82"/>
      <c r="V31" s="82"/>
      <c r="W31" s="82"/>
      <c r="X31" s="82"/>
      <c r="Y31" s="82"/>
      <c r="Z31" s="82"/>
      <c r="AA31" s="82"/>
      <c r="AB31" s="82"/>
      <c r="AC31" s="82"/>
      <c r="AD31" s="82"/>
      <c r="AE31" s="82"/>
    </row>
    <row r="32" spans="1:31">
      <c r="E32" s="84" t="s">
        <v>595</v>
      </c>
      <c r="F32" s="84" t="s">
        <v>594</v>
      </c>
      <c r="G32" s="286">
        <f>'Beta Calculation Data'!L32</f>
        <v>39407</v>
      </c>
      <c r="H32" s="286">
        <v>29064</v>
      </c>
      <c r="I32" s="101">
        <f t="shared" si="0"/>
        <v>1.3558698045692266</v>
      </c>
      <c r="J32" s="607">
        <v>0.1168</v>
      </c>
      <c r="K32" s="99"/>
      <c r="L32" s="151"/>
      <c r="M32" s="151"/>
      <c r="N32" s="62"/>
      <c r="O32" s="176"/>
      <c r="P32" s="176"/>
      <c r="Q32" s="101"/>
      <c r="R32" s="63"/>
      <c r="S32" s="99"/>
      <c r="T32" s="82"/>
      <c r="U32" s="143"/>
      <c r="V32" s="82"/>
      <c r="W32" s="82"/>
      <c r="X32" s="82"/>
      <c r="Y32" s="82"/>
      <c r="Z32" s="82"/>
      <c r="AA32" s="82"/>
      <c r="AB32" s="82"/>
      <c r="AC32" s="82"/>
      <c r="AD32" s="82"/>
      <c r="AE32" s="82"/>
    </row>
    <row r="33" spans="5:31">
      <c r="E33" s="84" t="s">
        <v>597</v>
      </c>
      <c r="F33" s="84" t="s">
        <v>596</v>
      </c>
      <c r="G33" s="286">
        <f>'Beta Calculation Data'!L33</f>
        <v>2338.8939999999998</v>
      </c>
      <c r="H33" s="286">
        <v>2896.41</v>
      </c>
      <c r="I33" s="101">
        <f t="shared" si="0"/>
        <v>0.8075148200703629</v>
      </c>
      <c r="J33" s="607">
        <v>0.22500000000000001</v>
      </c>
      <c r="K33" s="99"/>
      <c r="L33" s="151"/>
      <c r="M33" s="151"/>
      <c r="N33" s="62"/>
      <c r="O33" s="176"/>
      <c r="P33" s="170"/>
      <c r="Q33" s="101"/>
      <c r="R33" s="177"/>
      <c r="S33" s="178"/>
      <c r="T33" s="82"/>
      <c r="U33" s="143"/>
      <c r="V33" s="82"/>
      <c r="W33" s="82"/>
      <c r="X33" s="82"/>
      <c r="Y33" s="82"/>
      <c r="Z33" s="82"/>
      <c r="AA33" s="82"/>
      <c r="AB33" s="82"/>
      <c r="AC33" s="82"/>
      <c r="AD33" s="82"/>
      <c r="AE33" s="82"/>
    </row>
    <row r="34" spans="5:31">
      <c r="E34" s="84" t="s">
        <v>597</v>
      </c>
      <c r="F34" s="84" t="s">
        <v>598</v>
      </c>
      <c r="G34" s="286">
        <f>'Beta Calculation Data'!L34</f>
        <v>2338.8939999999998</v>
      </c>
      <c r="H34" s="286">
        <v>2896.41</v>
      </c>
      <c r="I34" s="101">
        <f t="shared" si="0"/>
        <v>0.8075148200703629</v>
      </c>
      <c r="J34" s="607">
        <v>0.22500000000000001</v>
      </c>
      <c r="K34" s="99"/>
      <c r="L34" s="151"/>
      <c r="M34" s="243"/>
      <c r="N34" s="62"/>
      <c r="O34" s="176"/>
      <c r="P34" s="99"/>
      <c r="Q34" s="99"/>
      <c r="R34" s="63"/>
      <c r="S34" s="99"/>
      <c r="T34" s="82"/>
      <c r="U34" s="82"/>
      <c r="V34" s="82"/>
      <c r="W34" s="82"/>
      <c r="X34" s="82"/>
      <c r="Y34" s="82"/>
      <c r="Z34" s="82"/>
      <c r="AA34" s="82"/>
      <c r="AB34" s="82"/>
      <c r="AC34" s="82"/>
      <c r="AD34" s="82"/>
      <c r="AE34" s="82"/>
    </row>
    <row r="35" spans="5:31">
      <c r="E35" s="84" t="s">
        <v>600</v>
      </c>
      <c r="F35" s="84" t="s">
        <v>599</v>
      </c>
      <c r="G35" s="286">
        <f>'Beta Calculation Data'!L35</f>
        <v>10676</v>
      </c>
      <c r="H35" s="286">
        <v>6394</v>
      </c>
      <c r="I35" s="101">
        <f t="shared" si="0"/>
        <v>1.6696903346887708</v>
      </c>
      <c r="J35" s="607">
        <v>7.4300000000000005E-2</v>
      </c>
      <c r="K35" s="99"/>
      <c r="L35" s="151"/>
      <c r="M35" s="144"/>
      <c r="N35" s="62"/>
      <c r="O35" s="176"/>
      <c r="T35" s="82"/>
      <c r="U35" s="82"/>
      <c r="V35" s="82"/>
      <c r="W35" s="82"/>
      <c r="X35" s="82"/>
      <c r="Y35" s="82"/>
      <c r="Z35" s="82"/>
      <c r="AA35" s="82"/>
      <c r="AB35" s="82"/>
      <c r="AC35" s="82"/>
      <c r="AD35" s="82"/>
      <c r="AE35" s="82"/>
    </row>
    <row r="36" spans="5:31">
      <c r="E36" s="84" t="s">
        <v>602</v>
      </c>
      <c r="F36" s="84" t="s">
        <v>601</v>
      </c>
      <c r="G36" s="286">
        <f>'Beta Calculation Data'!L36</f>
        <v>5663</v>
      </c>
      <c r="H36" s="286">
        <v>7708</v>
      </c>
      <c r="I36" s="101">
        <f t="shared" si="0"/>
        <v>0.73469122989102231</v>
      </c>
      <c r="J36" s="607">
        <v>0.1757</v>
      </c>
      <c r="K36" s="99"/>
      <c r="L36" s="151"/>
      <c r="M36" s="167"/>
      <c r="N36" s="62"/>
      <c r="O36" s="176"/>
      <c r="P36" s="146"/>
      <c r="Q36" s="47"/>
      <c r="R36" s="146"/>
      <c r="S36" s="146"/>
      <c r="T36" s="82"/>
      <c r="U36" s="82"/>
      <c r="V36" s="82"/>
      <c r="W36" s="82"/>
      <c r="X36" s="82"/>
      <c r="Y36" s="82"/>
      <c r="Z36" s="82"/>
      <c r="AA36" s="82"/>
      <c r="AB36" s="82"/>
      <c r="AC36" s="82"/>
      <c r="AD36" s="82"/>
      <c r="AE36" s="82"/>
    </row>
    <row r="37" spans="5:31">
      <c r="E37" s="84" t="s">
        <v>604</v>
      </c>
      <c r="F37" s="84" t="s">
        <v>603</v>
      </c>
      <c r="G37" s="286">
        <f>'Beta Calculation Data'!L37</f>
        <v>1577.7</v>
      </c>
      <c r="H37" s="286">
        <v>2276.1</v>
      </c>
      <c r="I37" s="101">
        <f t="shared" si="0"/>
        <v>0.69315935152234087</v>
      </c>
      <c r="J37" s="607">
        <v>0.1036</v>
      </c>
      <c r="K37" s="99"/>
      <c r="L37" s="151"/>
      <c r="M37" s="245"/>
      <c r="N37" s="62"/>
      <c r="O37" s="176"/>
      <c r="P37" s="184"/>
      <c r="Q37" s="63"/>
      <c r="R37" s="185"/>
      <c r="S37" s="56"/>
      <c r="T37" s="82"/>
      <c r="U37" s="82"/>
      <c r="V37" s="82"/>
      <c r="W37" s="82"/>
      <c r="X37" s="82"/>
      <c r="Y37" s="82"/>
      <c r="Z37" s="82"/>
      <c r="AA37" s="82"/>
      <c r="AB37" s="82"/>
      <c r="AC37" s="82"/>
      <c r="AD37" s="82"/>
      <c r="AE37" s="82"/>
    </row>
    <row r="38" spans="5:31">
      <c r="E38" s="84" t="s">
        <v>618</v>
      </c>
      <c r="F38" s="84" t="s">
        <v>605</v>
      </c>
      <c r="G38" s="286">
        <f>'Beta Calculation Data'!L38</f>
        <v>27.561</v>
      </c>
      <c r="H38" s="286">
        <v>30.75</v>
      </c>
      <c r="I38" s="101">
        <f t="shared" si="0"/>
        <v>0.89629268292682929</v>
      </c>
      <c r="J38" s="607">
        <v>0.23880000000000001</v>
      </c>
      <c r="K38" s="99"/>
      <c r="L38" s="147"/>
      <c r="M38" s="245"/>
      <c r="N38" s="62"/>
      <c r="O38" s="176"/>
      <c r="P38" s="184"/>
      <c r="Q38" s="63"/>
      <c r="R38" s="185"/>
      <c r="S38" s="56"/>
      <c r="T38" s="82"/>
      <c r="U38" s="82"/>
      <c r="V38" s="82"/>
      <c r="W38" s="82"/>
      <c r="X38" s="82"/>
      <c r="Y38" s="82"/>
      <c r="Z38" s="82"/>
      <c r="AA38" s="82"/>
      <c r="AB38" s="82"/>
      <c r="AC38" s="82"/>
      <c r="AD38" s="82"/>
      <c r="AE38" s="82"/>
    </row>
    <row r="39" spans="5:31">
      <c r="E39" s="84" t="s">
        <v>607</v>
      </c>
      <c r="F39" s="84" t="s">
        <v>606</v>
      </c>
      <c r="G39" s="286">
        <f>'Beta Calculation Data'!L39</f>
        <v>687.96100000000001</v>
      </c>
      <c r="H39" s="286">
        <v>1245.04</v>
      </c>
      <c r="I39" s="101">
        <f t="shared" si="0"/>
        <v>0.55256136349032969</v>
      </c>
      <c r="J39" s="607">
        <v>8.5199999999999998E-2</v>
      </c>
      <c r="K39" s="99"/>
      <c r="L39" s="62"/>
      <c r="M39" s="245"/>
      <c r="N39" s="62"/>
      <c r="O39" s="176"/>
      <c r="P39" s="184"/>
      <c r="Q39" s="63"/>
      <c r="R39" s="185"/>
      <c r="S39" s="56"/>
    </row>
    <row r="40" spans="5:31">
      <c r="E40" s="84" t="s">
        <v>609</v>
      </c>
      <c r="F40" s="84" t="s">
        <v>608</v>
      </c>
      <c r="G40" s="286">
        <f>'Beta Calculation Data'!L40</f>
        <v>0</v>
      </c>
      <c r="H40" s="286">
        <v>21.335999999999999</v>
      </c>
      <c r="I40" s="101">
        <f t="shared" si="0"/>
        <v>0</v>
      </c>
      <c r="J40" s="607">
        <v>-1.6073</v>
      </c>
      <c r="K40" s="99"/>
      <c r="L40" s="147"/>
      <c r="M40" s="245"/>
      <c r="N40" s="62"/>
      <c r="O40" s="176"/>
      <c r="P40" s="184"/>
      <c r="Q40" s="63"/>
      <c r="R40" s="185"/>
      <c r="S40" s="56"/>
    </row>
    <row r="41" spans="5:31">
      <c r="E41" s="84" t="s">
        <v>617</v>
      </c>
      <c r="F41" s="84" t="s">
        <v>610</v>
      </c>
      <c r="G41" s="286">
        <f>'Beta Calculation Data'!L41</f>
        <v>898.3</v>
      </c>
      <c r="H41" s="286">
        <v>1186.5</v>
      </c>
      <c r="I41" s="101">
        <f t="shared" si="0"/>
        <v>0.75710071639275178</v>
      </c>
      <c r="J41" s="607">
        <v>5.4999999999999997E-3</v>
      </c>
      <c r="K41" s="99"/>
      <c r="L41" s="62"/>
      <c r="M41" s="151"/>
      <c r="N41" s="62"/>
      <c r="O41" s="176"/>
      <c r="P41" s="184"/>
      <c r="Q41" s="63"/>
      <c r="R41" s="182"/>
      <c r="S41" s="183"/>
    </row>
    <row r="42" spans="5:31">
      <c r="E42" s="84" t="s">
        <v>612</v>
      </c>
      <c r="F42" s="84" t="s">
        <v>611</v>
      </c>
      <c r="G42" s="286">
        <f>'Beta Calculation Data'!L42</f>
        <v>1.0209999999999999</v>
      </c>
      <c r="H42" s="286">
        <v>1.276</v>
      </c>
      <c r="I42" s="101">
        <f t="shared" si="0"/>
        <v>0.80015673981191215</v>
      </c>
      <c r="J42" s="607">
        <v>-8.2291000000000007</v>
      </c>
      <c r="K42" s="99"/>
      <c r="L42" s="151"/>
      <c r="M42" s="144"/>
      <c r="N42" s="62"/>
      <c r="O42" s="176"/>
    </row>
    <row r="43" spans="5:31">
      <c r="E43" s="84" t="s">
        <v>614</v>
      </c>
      <c r="F43" s="84" t="s">
        <v>613</v>
      </c>
      <c r="G43" s="286">
        <f>'Beta Calculation Data'!L43</f>
        <v>17062</v>
      </c>
      <c r="H43" s="286">
        <v>25568</v>
      </c>
      <c r="I43" s="101">
        <f t="shared" si="0"/>
        <v>0.66731852315394247</v>
      </c>
      <c r="J43" s="607">
        <v>0.11310000000000001</v>
      </c>
      <c r="K43" s="99"/>
      <c r="L43" s="145"/>
      <c r="M43" s="144"/>
      <c r="N43" s="62"/>
      <c r="O43" s="176"/>
    </row>
    <row r="44" spans="5:31">
      <c r="E44" s="84" t="s">
        <v>616</v>
      </c>
      <c r="F44" s="84" t="s">
        <v>615</v>
      </c>
      <c r="G44" s="286">
        <f>'Beta Calculation Data'!L44</f>
        <v>0</v>
      </c>
      <c r="H44" s="286">
        <v>203.50299999999999</v>
      </c>
      <c r="I44" s="101">
        <f t="shared" si="0"/>
        <v>0</v>
      </c>
      <c r="J44" s="607">
        <v>0</v>
      </c>
      <c r="K44" s="99"/>
      <c r="L44" s="145"/>
      <c r="M44" s="144"/>
      <c r="N44" s="62"/>
      <c r="O44" s="176"/>
    </row>
    <row r="45" spans="5:31">
      <c r="E45" s="84" t="s">
        <v>620</v>
      </c>
      <c r="F45" s="84" t="s">
        <v>619</v>
      </c>
      <c r="G45" s="286">
        <f>'Beta Calculation Data'!L45</f>
        <v>0</v>
      </c>
      <c r="H45" s="286">
        <v>-13.802</v>
      </c>
      <c r="I45" s="101">
        <f t="shared" si="0"/>
        <v>0</v>
      </c>
      <c r="J45" s="607">
        <v>-1.3702000000000001</v>
      </c>
      <c r="K45" s="99"/>
      <c r="L45" s="145"/>
      <c r="M45" s="144"/>
      <c r="N45" s="62"/>
      <c r="O45" s="176"/>
    </row>
    <row r="46" spans="5:31">
      <c r="E46" s="84" t="s">
        <v>622</v>
      </c>
      <c r="F46" s="84" t="s">
        <v>621</v>
      </c>
      <c r="G46" s="286">
        <f>'Beta Calculation Data'!L46</f>
        <v>65984</v>
      </c>
      <c r="H46" s="170">
        <v>24695</v>
      </c>
      <c r="I46" s="101">
        <f t="shared" si="0"/>
        <v>2.6719578862117839</v>
      </c>
      <c r="J46" s="607">
        <v>0.1132</v>
      </c>
      <c r="K46" s="99"/>
      <c r="L46" s="145"/>
      <c r="M46" s="144"/>
      <c r="N46" s="62"/>
      <c r="O46" s="176"/>
    </row>
    <row r="47" spans="5:31">
      <c r="E47" s="84" t="s">
        <v>624</v>
      </c>
      <c r="F47" s="84" t="s">
        <v>623</v>
      </c>
      <c r="G47" s="286">
        <f>'Beta Calculation Data'!L47</f>
        <v>78.415999999999997</v>
      </c>
      <c r="H47" s="170">
        <v>-39.735999999999997</v>
      </c>
      <c r="I47" s="101">
        <f t="shared" si="0"/>
        <v>-1.9734246023756796</v>
      </c>
      <c r="J47" s="607">
        <v>-0.57540000000000002</v>
      </c>
      <c r="K47" s="99"/>
      <c r="L47" s="145"/>
      <c r="M47" s="144"/>
      <c r="N47" s="62"/>
      <c r="O47" s="176"/>
    </row>
    <row r="48" spans="5:31">
      <c r="E48" s="84" t="s">
        <v>624</v>
      </c>
      <c r="F48" s="84" t="s">
        <v>625</v>
      </c>
      <c r="G48" s="286">
        <f>'Beta Calculation Data'!L48</f>
        <v>78.415999999999997</v>
      </c>
      <c r="H48" s="170">
        <v>-39.735999999999997</v>
      </c>
      <c r="I48" s="101">
        <f t="shared" si="0"/>
        <v>-1.9734246023756796</v>
      </c>
      <c r="J48" s="607">
        <v>-0.57540000000000002</v>
      </c>
      <c r="K48" s="99"/>
      <c r="L48" s="6"/>
      <c r="M48" s="144"/>
      <c r="N48" s="62"/>
      <c r="O48" s="176"/>
    </row>
    <row r="49" spans="5:15">
      <c r="E49" s="84" t="s">
        <v>627</v>
      </c>
      <c r="F49" s="84" t="s">
        <v>626</v>
      </c>
      <c r="G49" s="286">
        <f>'Beta Calculation Data'!L49</f>
        <v>0.29899999999999999</v>
      </c>
      <c r="H49" s="170">
        <v>52.637999999999998</v>
      </c>
      <c r="I49" s="101">
        <f t="shared" si="0"/>
        <v>5.6803070025456892E-3</v>
      </c>
      <c r="J49" s="181">
        <v>-305.26749999999998</v>
      </c>
      <c r="K49" s="99"/>
      <c r="L49" s="6"/>
      <c r="M49" s="144"/>
      <c r="N49" s="62"/>
      <c r="O49" s="176"/>
    </row>
    <row r="50" spans="5:15">
      <c r="E50" s="84" t="s">
        <v>629</v>
      </c>
      <c r="F50" s="84" t="s">
        <v>628</v>
      </c>
      <c r="G50" s="286">
        <f>'Beta Calculation Data'!L50</f>
        <v>3071.8</v>
      </c>
      <c r="H50" s="170">
        <v>2274.6010000000001</v>
      </c>
      <c r="I50" s="101">
        <f t="shared" si="0"/>
        <v>1.3504786114136063</v>
      </c>
      <c r="J50" s="607">
        <v>8.9300000000000004E-2</v>
      </c>
      <c r="K50" s="99"/>
      <c r="M50" s="144"/>
      <c r="N50" s="62"/>
      <c r="O50" s="176"/>
    </row>
    <row r="51" spans="5:15">
      <c r="E51" s="84" t="s">
        <v>631</v>
      </c>
      <c r="F51" s="84" t="s">
        <v>630</v>
      </c>
      <c r="G51" s="286">
        <f>'Beta Calculation Data'!L51</f>
        <v>999.971</v>
      </c>
      <c r="H51" s="170">
        <v>1988.6849999999999</v>
      </c>
      <c r="I51" s="101">
        <f t="shared" si="0"/>
        <v>0.50283026220844429</v>
      </c>
      <c r="J51" s="607">
        <v>4.7800000000000002E-2</v>
      </c>
      <c r="K51" s="99"/>
      <c r="M51" s="144"/>
      <c r="N51" s="62"/>
      <c r="O51" s="176"/>
    </row>
    <row r="52" spans="5:15">
      <c r="E52" s="84" t="s">
        <v>633</v>
      </c>
      <c r="F52" s="84" t="s">
        <v>632</v>
      </c>
      <c r="G52" s="286">
        <f>'Beta Calculation Data'!L52</f>
        <v>36602</v>
      </c>
      <c r="H52" s="170">
        <v>28189</v>
      </c>
      <c r="I52" s="101">
        <f t="shared" si="0"/>
        <v>1.2984497499024441</v>
      </c>
      <c r="J52" s="607">
        <v>0.17319999999999999</v>
      </c>
      <c r="K52" s="99"/>
      <c r="M52" s="144"/>
      <c r="N52" s="62"/>
      <c r="O52" s="176"/>
    </row>
    <row r="53" spans="5:15">
      <c r="E53" s="84" t="s">
        <v>635</v>
      </c>
      <c r="F53" s="84" t="s">
        <v>634</v>
      </c>
      <c r="G53" s="286">
        <f>'Beta Calculation Data'!L53</f>
        <v>307.98200000000003</v>
      </c>
      <c r="H53" s="170">
        <v>357.62299999999999</v>
      </c>
      <c r="I53" s="101">
        <f t="shared" si="0"/>
        <v>0.86119181372562736</v>
      </c>
      <c r="J53" s="607">
        <v>8.3699999999999997E-2</v>
      </c>
      <c r="K53" s="99"/>
      <c r="M53" s="144"/>
      <c r="N53" s="62"/>
      <c r="O53" s="176"/>
    </row>
    <row r="54" spans="5:15">
      <c r="E54" s="84" t="s">
        <v>637</v>
      </c>
      <c r="F54" s="84" t="s">
        <v>636</v>
      </c>
      <c r="G54" s="286">
        <f>'Beta Calculation Data'!L54</f>
        <v>22.082999999999998</v>
      </c>
      <c r="H54" s="170">
        <v>12.407999999999999</v>
      </c>
      <c r="I54" s="101">
        <f t="shared" si="0"/>
        <v>1.7797388781431334</v>
      </c>
      <c r="J54" s="607">
        <v>6.1100000000000002E-2</v>
      </c>
      <c r="K54" s="99"/>
      <c r="M54" s="144"/>
      <c r="N54" s="62"/>
      <c r="O54" s="176"/>
    </row>
    <row r="55" spans="5:15">
      <c r="E55" s="84" t="s">
        <v>639</v>
      </c>
      <c r="F55" s="84" t="s">
        <v>638</v>
      </c>
      <c r="G55" s="286">
        <f>'Beta Calculation Data'!L55</f>
        <v>53.027000000000001</v>
      </c>
      <c r="H55" s="170">
        <v>135.63200000000001</v>
      </c>
      <c r="I55" s="101">
        <f t="shared" si="0"/>
        <v>0.39096230977940311</v>
      </c>
      <c r="J55" s="607">
        <v>0.19639999999999999</v>
      </c>
      <c r="K55" s="99"/>
      <c r="M55" s="144"/>
      <c r="N55" s="62"/>
      <c r="O55" s="176"/>
    </row>
    <row r="56" spans="5:15">
      <c r="E56" s="84" t="s">
        <v>641</v>
      </c>
      <c r="F56" s="84" t="s">
        <v>640</v>
      </c>
      <c r="G56" s="286">
        <f>'Beta Calculation Data'!L56</f>
        <v>0</v>
      </c>
      <c r="H56" s="170">
        <v>648.245</v>
      </c>
      <c r="I56" s="101">
        <f t="shared" si="0"/>
        <v>0</v>
      </c>
      <c r="J56" s="607">
        <v>-0.91849999999999998</v>
      </c>
      <c r="K56" s="99"/>
      <c r="M56" s="144"/>
      <c r="N56" s="62"/>
      <c r="O56" s="176"/>
    </row>
    <row r="57" spans="5:15">
      <c r="E57" s="84" t="s">
        <v>643</v>
      </c>
      <c r="F57" s="84" t="s">
        <v>642</v>
      </c>
      <c r="G57" s="286">
        <f>'Beta Calculation Data'!L57</f>
        <v>217.858</v>
      </c>
      <c r="H57" s="170">
        <v>376.51799999999997</v>
      </c>
      <c r="I57" s="101">
        <f t="shared" si="0"/>
        <v>0.57861244349539731</v>
      </c>
      <c r="J57" s="607">
        <v>1.3899999999999999E-2</v>
      </c>
      <c r="K57" s="99"/>
      <c r="M57" s="144"/>
      <c r="N57" s="62"/>
      <c r="O57" s="176"/>
    </row>
    <row r="58" spans="5:15">
      <c r="E58" s="84" t="s">
        <v>645</v>
      </c>
      <c r="F58" s="84" t="s">
        <v>644</v>
      </c>
      <c r="G58" s="286">
        <f>'Beta Calculation Data'!L58</f>
        <v>0</v>
      </c>
      <c r="H58" s="170">
        <v>185.773</v>
      </c>
      <c r="I58" s="101">
        <f t="shared" si="0"/>
        <v>0</v>
      </c>
      <c r="J58" s="607">
        <v>-0.29020000000000001</v>
      </c>
      <c r="K58" s="99"/>
      <c r="M58" s="144"/>
      <c r="N58" s="62"/>
      <c r="O58" s="176"/>
    </row>
    <row r="59" spans="5:15">
      <c r="E59" s="84" t="s">
        <v>647</v>
      </c>
      <c r="F59" s="84" t="s">
        <v>646</v>
      </c>
      <c r="G59" s="286">
        <f>'Beta Calculation Data'!L59</f>
        <v>595.84199999999998</v>
      </c>
      <c r="H59" s="170">
        <v>316.738</v>
      </c>
      <c r="I59" s="101">
        <f t="shared" si="0"/>
        <v>1.881182554666633</v>
      </c>
      <c r="J59" s="607">
        <v>0.1729</v>
      </c>
      <c r="K59" s="99"/>
      <c r="M59" s="144"/>
      <c r="N59" s="62"/>
      <c r="O59" s="176"/>
    </row>
    <row r="60" spans="5:15">
      <c r="E60" s="84" t="s">
        <v>649</v>
      </c>
      <c r="F60" s="84" t="s">
        <v>648</v>
      </c>
      <c r="G60" s="286">
        <f>'Beta Calculation Data'!L60</f>
        <v>210.99600000000001</v>
      </c>
      <c r="H60" s="170">
        <v>776.15499999999997</v>
      </c>
      <c r="I60" s="101">
        <f t="shared" si="0"/>
        <v>0.27184776236705299</v>
      </c>
      <c r="J60" s="607">
        <v>-0.63880000000000003</v>
      </c>
      <c r="K60" s="99"/>
      <c r="M60" s="144"/>
      <c r="N60" s="62"/>
      <c r="O60" s="176"/>
    </row>
    <row r="61" spans="5:15">
      <c r="E61" s="84" t="s">
        <v>651</v>
      </c>
      <c r="F61" s="84" t="s">
        <v>650</v>
      </c>
      <c r="G61" s="286">
        <f>'Beta Calculation Data'!L61</f>
        <v>67074</v>
      </c>
      <c r="H61" s="170">
        <v>104546</v>
      </c>
      <c r="I61" s="101">
        <f t="shared" si="0"/>
        <v>0.64157404396150974</v>
      </c>
      <c r="J61" s="607">
        <v>0.1076</v>
      </c>
      <c r="K61" s="99"/>
      <c r="M61" s="144"/>
      <c r="N61" s="62"/>
      <c r="O61" s="176"/>
    </row>
    <row r="62" spans="5:15">
      <c r="E62" s="84" t="s">
        <v>653</v>
      </c>
      <c r="F62" s="84" t="s">
        <v>652</v>
      </c>
      <c r="G62" s="286">
        <f>'Beta Calculation Data'!L62</f>
        <v>4.9290000000000003</v>
      </c>
      <c r="H62" s="170">
        <v>-105.078</v>
      </c>
      <c r="I62" s="101">
        <f t="shared" si="0"/>
        <v>-4.690801119168618E-2</v>
      </c>
      <c r="J62" s="607">
        <v>-17.0974</v>
      </c>
      <c r="K62" s="99"/>
      <c r="M62" s="144"/>
      <c r="N62" s="62"/>
      <c r="O62" s="176"/>
    </row>
    <row r="63" spans="5:15">
      <c r="E63" s="84" t="s">
        <v>655</v>
      </c>
      <c r="F63" s="84" t="s">
        <v>654</v>
      </c>
      <c r="G63" s="286">
        <f>'Beta Calculation Data'!L63</f>
        <v>5.4870000000000001</v>
      </c>
      <c r="H63" s="170">
        <v>5.9770000000000003</v>
      </c>
      <c r="I63" s="101">
        <f t="shared" si="0"/>
        <v>0.91801907311360209</v>
      </c>
      <c r="J63" s="607">
        <v>-1.4046000000000001</v>
      </c>
      <c r="K63" s="99"/>
      <c r="M63" s="144"/>
      <c r="N63" s="62"/>
      <c r="O63" s="176"/>
    </row>
    <row r="64" spans="5:15">
      <c r="E64" s="84" t="s">
        <v>657</v>
      </c>
      <c r="F64" s="84" t="s">
        <v>656</v>
      </c>
      <c r="G64" s="286">
        <f>'Beta Calculation Data'!L64</f>
        <v>83.902000000000001</v>
      </c>
      <c r="H64" s="170">
        <v>59.74</v>
      </c>
      <c r="I64" s="101">
        <f t="shared" si="0"/>
        <v>1.4044526280549046</v>
      </c>
      <c r="J64" s="607">
        <v>-0.16569999999999999</v>
      </c>
      <c r="K64" s="99"/>
      <c r="M64" s="144"/>
      <c r="N64" s="62"/>
      <c r="O64" s="176"/>
    </row>
    <row r="65" spans="5:15">
      <c r="E65" s="84" t="s">
        <v>659</v>
      </c>
      <c r="F65" s="84" t="s">
        <v>658</v>
      </c>
      <c r="G65" s="286">
        <f>'Beta Calculation Data'!L65</f>
        <v>1.845</v>
      </c>
      <c r="H65" s="170">
        <v>188.489</v>
      </c>
      <c r="I65" s="101">
        <f>G65/H65</f>
        <v>9.7883696130808689E-3</v>
      </c>
      <c r="J65" s="607">
        <v>-10.0867</v>
      </c>
      <c r="K65" s="99"/>
      <c r="M65" s="144"/>
      <c r="N65" s="62"/>
      <c r="O65" s="176"/>
    </row>
    <row r="66" spans="5:15">
      <c r="E66" s="84" t="s">
        <v>661</v>
      </c>
      <c r="F66" s="84" t="s">
        <v>660</v>
      </c>
      <c r="G66" s="286">
        <f>'Beta Calculation Data'!L66</f>
        <v>2.3119999999999998</v>
      </c>
      <c r="H66" s="170">
        <v>895.94299999999998</v>
      </c>
      <c r="I66" s="101">
        <f t="shared" si="0"/>
        <v>2.5805213054848355E-3</v>
      </c>
      <c r="J66" s="181">
        <v>-216.2561</v>
      </c>
      <c r="K66" s="99"/>
      <c r="M66" s="144"/>
      <c r="N66" s="62"/>
      <c r="O66" s="176"/>
    </row>
    <row r="67" spans="5:15">
      <c r="E67" s="84" t="s">
        <v>663</v>
      </c>
      <c r="F67" s="84" t="s">
        <v>662</v>
      </c>
      <c r="G67" s="286">
        <f>'Beta Calculation Data'!L67</f>
        <v>5029.6000000000004</v>
      </c>
      <c r="H67" s="170">
        <v>3476.6</v>
      </c>
      <c r="I67" s="101">
        <f t="shared" si="0"/>
        <v>1.4467007996318244</v>
      </c>
      <c r="J67" s="607">
        <v>-5.9700000000000003E-2</v>
      </c>
      <c r="K67" s="99"/>
      <c r="M67" s="144"/>
      <c r="N67" s="62"/>
      <c r="O67" s="176"/>
    </row>
    <row r="68" spans="5:15">
      <c r="E68" s="84" t="s">
        <v>665</v>
      </c>
      <c r="F68" s="84" t="s">
        <v>664</v>
      </c>
      <c r="G68" s="286">
        <f>'Beta Calculation Data'!L68</f>
        <v>515.76499999999999</v>
      </c>
      <c r="H68" s="170">
        <v>360.51400000000001</v>
      </c>
      <c r="I68" s="101">
        <f t="shared" si="0"/>
        <v>1.4306379225217327</v>
      </c>
      <c r="J68" s="607">
        <v>0.15340000000000001</v>
      </c>
      <c r="K68" s="99"/>
      <c r="M68" s="144"/>
      <c r="N68" s="62"/>
      <c r="O68" s="176"/>
    </row>
    <row r="69" spans="5:15">
      <c r="E69" s="84" t="s">
        <v>667</v>
      </c>
      <c r="F69" s="84" t="s">
        <v>666</v>
      </c>
      <c r="G69" s="286">
        <f>'Beta Calculation Data'!L69</f>
        <v>0</v>
      </c>
      <c r="H69" s="170">
        <v>89.462000000000003</v>
      </c>
      <c r="I69" s="101">
        <f t="shared" si="0"/>
        <v>0</v>
      </c>
      <c r="J69" s="607">
        <v>0</v>
      </c>
      <c r="K69" s="99"/>
      <c r="M69" s="144"/>
      <c r="N69" s="62"/>
      <c r="O69" s="176"/>
    </row>
    <row r="70" spans="5:15">
      <c r="E70" s="84" t="s">
        <v>669</v>
      </c>
      <c r="F70" s="84" t="s">
        <v>668</v>
      </c>
      <c r="G70" s="286">
        <f>'Beta Calculation Data'!L70</f>
        <v>5632</v>
      </c>
      <c r="H70" s="170">
        <v>16022</v>
      </c>
      <c r="I70" s="101">
        <f t="shared" si="0"/>
        <v>0.35151666458619396</v>
      </c>
      <c r="J70" s="607">
        <v>0.41710000000000003</v>
      </c>
      <c r="K70" s="99"/>
      <c r="M70" s="144"/>
      <c r="N70" s="62"/>
      <c r="O70" s="176"/>
    </row>
    <row r="71" spans="5:15">
      <c r="E71" s="84" t="s">
        <v>671</v>
      </c>
      <c r="F71" s="84" t="s">
        <v>670</v>
      </c>
      <c r="G71" s="286">
        <f>'Beta Calculation Data'!L71</f>
        <v>1372.49</v>
      </c>
      <c r="H71" s="99">
        <v>798.79899999999998</v>
      </c>
      <c r="I71" s="101">
        <f t="shared" ref="I71:I78" si="1">G71/H71</f>
        <v>1.7181919356433848</v>
      </c>
      <c r="J71" s="607">
        <v>8.48E-2</v>
      </c>
      <c r="K71" s="99"/>
      <c r="M71" s="144"/>
      <c r="N71" s="62"/>
      <c r="O71" s="176"/>
    </row>
    <row r="72" spans="5:15">
      <c r="E72" s="84" t="s">
        <v>673</v>
      </c>
      <c r="F72" s="84" t="s">
        <v>672</v>
      </c>
      <c r="G72" s="286">
        <f>'Beta Calculation Data'!L72</f>
        <v>12869</v>
      </c>
      <c r="H72" s="99">
        <v>10670</v>
      </c>
      <c r="I72" s="101">
        <f t="shared" si="1"/>
        <v>1.2060918462980319</v>
      </c>
      <c r="J72" s="607">
        <v>8.6199999999999999E-2</v>
      </c>
      <c r="K72" s="99"/>
      <c r="M72" s="144"/>
      <c r="N72" s="62"/>
      <c r="O72" s="176"/>
    </row>
    <row r="73" spans="5:15">
      <c r="E73" s="84" t="s">
        <v>675</v>
      </c>
      <c r="F73" s="84" t="s">
        <v>674</v>
      </c>
      <c r="G73" s="286">
        <f>'Beta Calculation Data'!L73</f>
        <v>33.177999999999997</v>
      </c>
      <c r="H73" s="170">
        <v>212.97</v>
      </c>
      <c r="I73" s="101">
        <f t="shared" si="1"/>
        <v>0.15578720007512795</v>
      </c>
      <c r="J73" s="607">
        <v>-5.9398</v>
      </c>
      <c r="K73" s="99"/>
      <c r="M73" s="144"/>
      <c r="N73" s="62"/>
      <c r="O73" s="176"/>
    </row>
    <row r="74" spans="5:15">
      <c r="E74" s="84" t="s">
        <v>675</v>
      </c>
      <c r="F74" s="84" t="s">
        <v>676</v>
      </c>
      <c r="G74" s="286">
        <f>'Beta Calculation Data'!L74</f>
        <v>33.177999999999997</v>
      </c>
      <c r="H74" s="170">
        <v>212.97</v>
      </c>
      <c r="I74" s="101">
        <f t="shared" si="1"/>
        <v>0.15578720007512795</v>
      </c>
      <c r="J74" s="609" t="s">
        <v>105</v>
      </c>
      <c r="K74" s="99"/>
      <c r="M74" s="144"/>
      <c r="N74" s="62"/>
      <c r="O74" s="176"/>
    </row>
    <row r="75" spans="5:15">
      <c r="E75" s="84" t="s">
        <v>678</v>
      </c>
      <c r="F75" s="84" t="s">
        <v>677</v>
      </c>
      <c r="G75" s="286">
        <f>'Beta Calculation Data'!L75</f>
        <v>949.76199999999994</v>
      </c>
      <c r="H75" s="170">
        <v>735.82600000000002</v>
      </c>
      <c r="I75" s="101">
        <f t="shared" si="1"/>
        <v>1.2907426483978548</v>
      </c>
      <c r="J75" s="607">
        <v>5.8599999999999999E-2</v>
      </c>
      <c r="K75" s="99"/>
      <c r="M75" s="144"/>
      <c r="N75" s="62"/>
      <c r="O75" s="176"/>
    </row>
    <row r="76" spans="5:15">
      <c r="E76" s="84" t="s">
        <v>680</v>
      </c>
      <c r="F76" s="84" t="s">
        <v>679</v>
      </c>
      <c r="G76" s="286">
        <f>'Beta Calculation Data'!L76</f>
        <v>28.297999999999998</v>
      </c>
      <c r="H76" s="170">
        <v>39.744999999999997</v>
      </c>
      <c r="I76" s="101">
        <f t="shared" si="1"/>
        <v>0.71198892942508496</v>
      </c>
      <c r="J76" s="607">
        <v>1.7100000000000001E-2</v>
      </c>
      <c r="K76" s="99"/>
      <c r="M76" s="144"/>
      <c r="N76" s="62"/>
      <c r="O76" s="176"/>
    </row>
    <row r="77" spans="5:15">
      <c r="E77" s="84" t="s">
        <v>682</v>
      </c>
      <c r="F77" s="84" t="s">
        <v>681</v>
      </c>
      <c r="G77" s="286">
        <f>'Beta Calculation Data'!L77</f>
        <v>2332.1010000000001</v>
      </c>
      <c r="H77" s="170">
        <v>2271.7399999999998</v>
      </c>
      <c r="I77" s="101">
        <f t="shared" si="1"/>
        <v>1.0265703821740166</v>
      </c>
      <c r="J77" s="607">
        <v>3.3099999999999997E-2</v>
      </c>
      <c r="K77" s="99"/>
      <c r="M77" s="144"/>
      <c r="N77" s="62"/>
      <c r="O77" s="176"/>
    </row>
    <row r="78" spans="5:15">
      <c r="E78" s="84" t="s">
        <v>684</v>
      </c>
      <c r="F78" s="84" t="s">
        <v>683</v>
      </c>
      <c r="G78" s="286">
        <f>'Beta Calculation Data'!L78</f>
        <v>2459.8229999999999</v>
      </c>
      <c r="H78" s="170">
        <v>2678.538</v>
      </c>
      <c r="I78" s="101">
        <f t="shared" si="1"/>
        <v>0.91834538095035423</v>
      </c>
      <c r="J78" s="607">
        <v>8.3199999999999996E-2</v>
      </c>
      <c r="K78" s="99"/>
      <c r="M78" s="144"/>
      <c r="N78" s="62"/>
      <c r="O78" s="176"/>
    </row>
    <row r="79" spans="5:15">
      <c r="G79" s="99"/>
      <c r="H79" s="99"/>
      <c r="I79" s="72">
        <f>_xlfn.PERCENTILE.EXC(I6:I78,0.5)</f>
        <v>0.61259239582014124</v>
      </c>
      <c r="J79" s="129">
        <f>_xlfn.PERCENTILE.EXC(J6:J78,0.5)</f>
        <v>4.41E-2</v>
      </c>
      <c r="K79" s="99"/>
      <c r="M79" s="144"/>
    </row>
    <row r="80" spans="5:15">
      <c r="K80" s="99"/>
      <c r="M80" s="144"/>
    </row>
    <row r="81" spans="11:13">
      <c r="K81" s="99"/>
      <c r="M81" s="144"/>
    </row>
    <row r="82" spans="11:13">
      <c r="K82" s="99"/>
      <c r="M82" s="144"/>
    </row>
    <row r="83" spans="11:13">
      <c r="K83" s="99"/>
      <c r="M83" s="144"/>
    </row>
    <row r="84" spans="11:13">
      <c r="K84" s="99"/>
    </row>
    <row r="85" spans="11:13">
      <c r="K85" s="99"/>
      <c r="M85" s="144"/>
    </row>
    <row r="86" spans="11:13">
      <c r="K86" s="99"/>
      <c r="M86" s="144"/>
    </row>
    <row r="87" spans="11:13">
      <c r="K87" s="99"/>
      <c r="M87" s="144"/>
    </row>
    <row r="88" spans="11:13">
      <c r="K88" s="99"/>
      <c r="M88" s="144"/>
    </row>
    <row r="89" spans="11:13">
      <c r="K89" s="99"/>
      <c r="M89" s="144"/>
    </row>
    <row r="90" spans="11:13">
      <c r="K90" s="99"/>
      <c r="M90" s="144"/>
    </row>
    <row r="91" spans="11:13">
      <c r="K91" s="99"/>
      <c r="M91" s="144"/>
    </row>
    <row r="92" spans="11:13">
      <c r="K92" s="99"/>
      <c r="M92" s="144"/>
    </row>
    <row r="93" spans="11:13">
      <c r="K93" s="99"/>
      <c r="M93" s="144"/>
    </row>
    <row r="94" spans="11:13">
      <c r="K94" s="99"/>
      <c r="M94" s="144"/>
    </row>
    <row r="95" spans="11:13">
      <c r="K95" s="99"/>
      <c r="M95" s="144"/>
    </row>
    <row r="96" spans="11:13">
      <c r="K96" s="99"/>
      <c r="M96" s="144"/>
    </row>
    <row r="97" spans="11:13">
      <c r="K97" s="99"/>
      <c r="M97" s="144"/>
    </row>
    <row r="98" spans="11:13">
      <c r="K98" s="99"/>
      <c r="M98" s="144"/>
    </row>
    <row r="99" spans="11:13">
      <c r="K99" s="99"/>
      <c r="M99" s="144"/>
    </row>
    <row r="100" spans="11:13">
      <c r="K100" s="99"/>
      <c r="M100" s="144"/>
    </row>
    <row r="101" spans="11:13">
      <c r="K101" s="99"/>
      <c r="M101" s="144"/>
    </row>
    <row r="102" spans="11:13">
      <c r="K102" s="99"/>
      <c r="M102" s="144"/>
    </row>
    <row r="103" spans="11:13">
      <c r="K103" s="99"/>
      <c r="M103" s="144"/>
    </row>
    <row r="104" spans="11:13">
      <c r="K104" s="99"/>
      <c r="M104" s="144"/>
    </row>
    <row r="105" spans="11:13">
      <c r="K105" s="99"/>
      <c r="M105" s="144"/>
    </row>
    <row r="106" spans="11:13">
      <c r="K106" s="99"/>
      <c r="M106" s="144"/>
    </row>
    <row r="107" spans="11:13">
      <c r="K107" s="99"/>
      <c r="M107" s="144"/>
    </row>
    <row r="108" spans="11:13">
      <c r="K108" s="99"/>
      <c r="M108" s="144"/>
    </row>
    <row r="109" spans="11:13">
      <c r="K109" s="99"/>
      <c r="M109" s="144"/>
    </row>
    <row r="110" spans="11:13">
      <c r="K110" s="99"/>
      <c r="M110" s="144"/>
    </row>
    <row r="111" spans="11:13">
      <c r="K111" s="99"/>
      <c r="M111" s="144"/>
    </row>
    <row r="112" spans="11:13">
      <c r="K112" s="99"/>
      <c r="M112" s="144"/>
    </row>
    <row r="113" spans="11:13">
      <c r="K113" s="99"/>
      <c r="M113" s="144"/>
    </row>
    <row r="114" spans="11:13">
      <c r="K114" s="99"/>
      <c r="M114" s="144"/>
    </row>
    <row r="115" spans="11:13">
      <c r="K115" s="99"/>
      <c r="M115" s="144"/>
    </row>
    <row r="116" spans="11:13">
      <c r="K116" s="99"/>
      <c r="M116" s="144"/>
    </row>
    <row r="117" spans="11:13">
      <c r="K117" s="99"/>
      <c r="M117" s="144"/>
    </row>
    <row r="118" spans="11:13">
      <c r="K118" s="99"/>
      <c r="M118" s="144"/>
    </row>
    <row r="119" spans="11:13">
      <c r="K119" s="99"/>
      <c r="M119" s="144"/>
    </row>
    <row r="120" spans="11:13">
      <c r="K120" s="99"/>
      <c r="M120" s="144"/>
    </row>
    <row r="121" spans="11:13">
      <c r="K121" s="99"/>
      <c r="M121" s="144"/>
    </row>
    <row r="122" spans="11:13">
      <c r="K122" s="99"/>
      <c r="M122" s="144"/>
    </row>
    <row r="123" spans="11:13">
      <c r="K123" s="99"/>
      <c r="M123" s="144"/>
    </row>
    <row r="124" spans="11:13">
      <c r="K124" s="99"/>
      <c r="M124" s="144"/>
    </row>
    <row r="125" spans="11:13">
      <c r="K125" s="99"/>
      <c r="M125" s="144"/>
    </row>
    <row r="126" spans="11:13">
      <c r="K126" s="99"/>
      <c r="M126" s="144"/>
    </row>
    <row r="127" spans="11:13">
      <c r="K127" s="99"/>
      <c r="M127" s="144"/>
    </row>
    <row r="128" spans="11:13">
      <c r="K128" s="99"/>
      <c r="M128" s="144"/>
    </row>
    <row r="129" spans="11:13">
      <c r="K129" s="99"/>
      <c r="M129" s="144"/>
    </row>
    <row r="130" spans="11:13">
      <c r="K130" s="99"/>
      <c r="M130" s="144"/>
    </row>
    <row r="131" spans="11:13">
      <c r="K131" s="99"/>
      <c r="M131" s="144"/>
    </row>
    <row r="132" spans="11:13">
      <c r="K132" s="99"/>
      <c r="M132" s="144"/>
    </row>
    <row r="133" spans="11:13">
      <c r="K133" s="99"/>
      <c r="M133" s="144"/>
    </row>
    <row r="134" spans="11:13">
      <c r="K134" s="99"/>
      <c r="M134" s="144"/>
    </row>
    <row r="135" spans="11:13">
      <c r="K135" s="99"/>
      <c r="M135" s="144"/>
    </row>
    <row r="136" spans="11:13">
      <c r="K136" s="99"/>
      <c r="M136" s="144"/>
    </row>
    <row r="137" spans="11:13">
      <c r="K137" s="99"/>
      <c r="M137" s="144"/>
    </row>
    <row r="138" spans="11:13">
      <c r="K138" s="99"/>
      <c r="M138" s="144"/>
    </row>
    <row r="139" spans="11:13">
      <c r="K139" s="99"/>
      <c r="M139" s="144"/>
    </row>
    <row r="140" spans="11:13">
      <c r="K140" s="99"/>
      <c r="M140" s="144"/>
    </row>
    <row r="141" spans="11:13">
      <c r="K141" s="99"/>
      <c r="M141" s="144"/>
    </row>
    <row r="142" spans="11:13">
      <c r="K142" s="99"/>
      <c r="M142" s="144"/>
    </row>
    <row r="143" spans="11:13">
      <c r="K143" s="99"/>
      <c r="M143" s="144"/>
    </row>
    <row r="144" spans="11:13">
      <c r="K144" s="99"/>
      <c r="M144" s="144"/>
    </row>
    <row r="145" spans="11:13">
      <c r="K145" s="99"/>
      <c r="M145" s="144"/>
    </row>
    <row r="146" spans="11:13">
      <c r="K146" s="99"/>
      <c r="M146" s="144"/>
    </row>
    <row r="147" spans="11:13">
      <c r="K147" s="99"/>
      <c r="M147" s="144"/>
    </row>
    <row r="148" spans="11:13">
      <c r="K148" s="99"/>
      <c r="M148" s="144"/>
    </row>
    <row r="149" spans="11:13">
      <c r="K149" s="99"/>
      <c r="M149" s="144"/>
    </row>
    <row r="150" spans="11:13">
      <c r="K150" s="99"/>
      <c r="M150" s="144"/>
    </row>
    <row r="151" spans="11:13">
      <c r="K151" s="99"/>
      <c r="M151" s="144"/>
    </row>
    <row r="152" spans="11:13">
      <c r="K152" s="99"/>
      <c r="M152" s="144"/>
    </row>
    <row r="153" spans="11:13">
      <c r="K153" s="99"/>
      <c r="M153" s="144"/>
    </row>
    <row r="154" spans="11:13">
      <c r="K154" s="99"/>
      <c r="M154" s="144"/>
    </row>
    <row r="155" spans="11:13">
      <c r="K155" s="99"/>
      <c r="M155" s="144"/>
    </row>
    <row r="156" spans="11:13">
      <c r="K156" s="99"/>
      <c r="M156" s="144"/>
    </row>
    <row r="157" spans="11:13">
      <c r="K157" s="99"/>
      <c r="M157" s="144"/>
    </row>
    <row r="158" spans="11:13">
      <c r="K158" s="99"/>
      <c r="M158" s="144"/>
    </row>
    <row r="159" spans="11:13">
      <c r="K159" s="99"/>
      <c r="M159" s="144"/>
    </row>
    <row r="160" spans="11:13">
      <c r="K160" s="99"/>
      <c r="M160" s="144"/>
    </row>
    <row r="161" spans="11:13">
      <c r="K161" s="99"/>
      <c r="M161" s="144"/>
    </row>
    <row r="162" spans="11:13">
      <c r="K162" s="99"/>
      <c r="M162" s="144"/>
    </row>
    <row r="163" spans="11:13">
      <c r="K163" s="99"/>
    </row>
    <row r="164" spans="11:13">
      <c r="K164" s="99"/>
      <c r="M164" s="144"/>
    </row>
    <row r="165" spans="11:13">
      <c r="K165" s="99"/>
    </row>
    <row r="166" spans="11:13">
      <c r="K166" s="99"/>
      <c r="M166" s="144"/>
    </row>
    <row r="167" spans="11:13">
      <c r="K167" s="99"/>
      <c r="M167" s="144"/>
    </row>
    <row r="168" spans="11:13">
      <c r="K168" s="99"/>
      <c r="M168" s="144"/>
    </row>
    <row r="169" spans="11:13">
      <c r="K169" s="99"/>
      <c r="M169" s="144"/>
    </row>
    <row r="170" spans="11:13">
      <c r="K170" s="99"/>
      <c r="M170" s="144"/>
    </row>
    <row r="171" spans="11:13">
      <c r="K171" s="99"/>
      <c r="M171" s="45"/>
    </row>
    <row r="172" spans="11:13">
      <c r="K172" s="99"/>
      <c r="M172" s="144"/>
    </row>
    <row r="173" spans="11:13">
      <c r="K173" s="99"/>
      <c r="M173" s="144"/>
    </row>
    <row r="174" spans="11:13">
      <c r="K174" s="99"/>
      <c r="M174" s="144"/>
    </row>
    <row r="175" spans="11:13">
      <c r="K175" s="99"/>
      <c r="M175" s="144"/>
    </row>
    <row r="176" spans="11:13">
      <c r="K176" s="99"/>
      <c r="M176" s="144"/>
    </row>
    <row r="177" spans="11:13">
      <c r="K177" s="99"/>
      <c r="M177" s="144"/>
    </row>
    <row r="178" spans="11:13">
      <c r="K178" s="99"/>
      <c r="M178" s="144"/>
    </row>
    <row r="179" spans="11:13">
      <c r="K179" s="99"/>
    </row>
    <row r="180" spans="11:13">
      <c r="K180" s="99"/>
      <c r="M180" s="144"/>
    </row>
    <row r="181" spans="11:13">
      <c r="K181" s="99"/>
      <c r="M181" s="144"/>
    </row>
    <row r="182" spans="11:13">
      <c r="K182" s="99"/>
      <c r="M182" s="144"/>
    </row>
    <row r="183" spans="11:13">
      <c r="K183" s="99"/>
      <c r="M183" s="144"/>
    </row>
    <row r="184" spans="11:13">
      <c r="K184" s="99"/>
    </row>
    <row r="185" spans="11:13">
      <c r="K185" s="99"/>
      <c r="M185" s="144"/>
    </row>
    <row r="186" spans="11:13">
      <c r="K186" s="99"/>
      <c r="M186" s="144"/>
    </row>
    <row r="187" spans="11:13">
      <c r="K187" s="99"/>
      <c r="M187" s="144"/>
    </row>
    <row r="188" spans="11:13">
      <c r="K188" s="99"/>
      <c r="M188" s="144"/>
    </row>
    <row r="189" spans="11:13">
      <c r="K189" s="99"/>
      <c r="M189" s="144"/>
    </row>
    <row r="190" spans="11:13">
      <c r="K190" s="99"/>
      <c r="M190" s="144"/>
    </row>
    <row r="191" spans="11:13">
      <c r="K191" s="99"/>
      <c r="M191" s="144"/>
    </row>
    <row r="192" spans="11:13">
      <c r="K192" s="99"/>
      <c r="M192" s="144"/>
    </row>
    <row r="193" spans="11:13">
      <c r="K193" s="99"/>
    </row>
    <row r="194" spans="11:13">
      <c r="K194" s="99"/>
    </row>
    <row r="195" spans="11:13">
      <c r="K195" s="99"/>
      <c r="M195" s="45"/>
    </row>
    <row r="196" spans="11:13">
      <c r="K196" s="99"/>
      <c r="M196" s="144"/>
    </row>
    <row r="197" spans="11:13">
      <c r="K197" s="99"/>
    </row>
    <row r="198" spans="11:13">
      <c r="K198" s="99"/>
    </row>
    <row r="199" spans="11:13">
      <c r="K199" s="99"/>
      <c r="M199" s="144"/>
    </row>
    <row r="200" spans="11:13">
      <c r="K200" s="99"/>
    </row>
    <row r="201" spans="11:13">
      <c r="K201" s="99"/>
      <c r="M201" s="144"/>
    </row>
    <row r="202" spans="11:13">
      <c r="K202" s="99"/>
      <c r="M202" s="144"/>
    </row>
    <row r="203" spans="11:13">
      <c r="K203" s="99"/>
      <c r="M203" s="144"/>
    </row>
    <row r="204" spans="11:13">
      <c r="K204" s="99"/>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77" customWidth="1"/>
    <col min="2" max="2" width="27" style="77" customWidth="1"/>
    <col min="3" max="6" width="11.7109375" style="77" customWidth="1"/>
    <col min="7" max="7" width="11.7109375" style="77" customWidth="1" collapsed="1"/>
    <col min="8" max="13" width="11.7109375" style="77" customWidth="1"/>
    <col min="14" max="14" width="2.85546875" style="77" customWidth="1"/>
    <col min="15" max="17" width="11.7109375" style="77" customWidth="1"/>
    <col min="18" max="18" width="13.140625" style="77" customWidth="1"/>
    <col min="19" max="28" width="9.140625" style="77" customWidth="1"/>
    <col min="29" max="29" width="9.28515625" style="77" customWidth="1"/>
    <col min="30" max="30" width="9.42578125" style="77" customWidth="1"/>
    <col min="31" max="31" width="10" style="77" customWidth="1"/>
    <col min="32" max="32" width="11.42578125" style="77" customWidth="1"/>
    <col min="33" max="33" width="9.42578125" style="77" bestFit="1" customWidth="1" collapsed="1"/>
    <col min="34" max="16384" width="9.140625" style="77"/>
  </cols>
  <sheetData>
    <row r="1" spans="1:32" s="76" customFormat="1" ht="15" customHeight="1">
      <c r="B1" s="15" t="s">
        <v>398</v>
      </c>
      <c r="C1" s="75"/>
      <c r="D1" s="75"/>
      <c r="E1" s="75"/>
      <c r="F1" s="75"/>
      <c r="G1" s="75"/>
      <c r="H1" s="75"/>
      <c r="I1" s="75"/>
      <c r="J1" s="75"/>
      <c r="K1" s="75"/>
      <c r="L1" s="75"/>
      <c r="M1" s="75"/>
      <c r="N1" s="75"/>
    </row>
    <row r="2" spans="1:32" ht="12" customHeight="1"/>
    <row r="3" spans="1:32" ht="12" customHeight="1">
      <c r="A3" s="79"/>
      <c r="B3" s="247" t="s">
        <v>384</v>
      </c>
      <c r="C3" s="247"/>
      <c r="D3" s="247"/>
      <c r="E3" s="247"/>
      <c r="F3" s="247"/>
      <c r="G3" s="247"/>
      <c r="H3" s="247"/>
      <c r="I3" s="247"/>
      <c r="J3" s="247"/>
      <c r="K3" s="247"/>
      <c r="L3" s="247"/>
      <c r="M3" s="247"/>
      <c r="O3" s="427" t="s">
        <v>385</v>
      </c>
      <c r="P3" s="424"/>
    </row>
    <row r="4" spans="1:32" ht="12" customHeight="1" thickBot="1">
      <c r="A4" s="84"/>
      <c r="B4" s="349" t="str">
        <f>Drivers!$C$5&amp;" in mil"</f>
        <v>$ in mil</v>
      </c>
      <c r="C4" s="414">
        <v>44562</v>
      </c>
      <c r="D4" s="415">
        <v>44927</v>
      </c>
      <c r="E4" s="415">
        <v>45292</v>
      </c>
      <c r="F4" s="415">
        <v>45658</v>
      </c>
      <c r="G4" s="415">
        <v>46023</v>
      </c>
      <c r="H4" s="415">
        <v>46388</v>
      </c>
      <c r="I4" s="415">
        <v>46753</v>
      </c>
      <c r="J4" s="415">
        <v>47119</v>
      </c>
      <c r="K4" s="415">
        <v>47484</v>
      </c>
      <c r="L4" s="415">
        <v>47849</v>
      </c>
      <c r="M4" s="415">
        <v>48214</v>
      </c>
      <c r="O4" s="425"/>
      <c r="P4" s="426"/>
      <c r="Q4" s="226"/>
    </row>
    <row r="5" spans="1:32" ht="12" customHeight="1">
      <c r="A5" s="84"/>
      <c r="B5" s="421" t="s">
        <v>4</v>
      </c>
      <c r="C5" s="363">
        <f>'Accounting Adjustments'!G5</f>
        <v>66608</v>
      </c>
      <c r="D5" s="363">
        <f>C5*(1+D6)</f>
        <v>67790.583845826652</v>
      </c>
      <c r="E5" s="363">
        <f t="shared" ref="E5:M5" si="0">D5*(1+E6)</f>
        <v>68994.163736458882</v>
      </c>
      <c r="F5" s="363">
        <f>E5*(1+F6)</f>
        <v>70219.112443687074</v>
      </c>
      <c r="G5" s="363">
        <f t="shared" si="0"/>
        <v>71465.809357634193</v>
      </c>
      <c r="H5" s="363">
        <f t="shared" si="0"/>
        <v>72734.640604260203</v>
      </c>
      <c r="I5" s="363">
        <f t="shared" si="0"/>
        <v>74025.999164952693</v>
      </c>
      <c r="J5" s="363">
        <f t="shared" si="0"/>
        <v>75340.284998240735</v>
      </c>
      <c r="K5" s="363">
        <f t="shared" si="0"/>
        <v>76677.90516366974</v>
      </c>
      <c r="L5" s="363">
        <f t="shared" si="0"/>
        <v>78039.273947875598</v>
      </c>
      <c r="M5" s="363">
        <f t="shared" si="0"/>
        <v>79424.81299289719</v>
      </c>
      <c r="N5" s="409"/>
      <c r="O5" s="559" t="s">
        <v>387</v>
      </c>
      <c r="P5" s="225">
        <v>1.78E-2</v>
      </c>
      <c r="Q5" s="228"/>
      <c r="R5" s="228"/>
      <c r="S5" s="82"/>
      <c r="T5" s="82"/>
    </row>
    <row r="6" spans="1:32" ht="12" customHeight="1">
      <c r="A6" s="84"/>
      <c r="B6" s="423" t="s">
        <v>386</v>
      </c>
      <c r="C6" s="225"/>
      <c r="D6" s="225">
        <f>'Expected Growth Rate'!$C$11</f>
        <v>1.7754381543157807E-2</v>
      </c>
      <c r="E6" s="225">
        <f>'Expected Growth Rate'!$C$11</f>
        <v>1.7754381543157807E-2</v>
      </c>
      <c r="F6" s="225">
        <f>'Expected Growth Rate'!$C$11</f>
        <v>1.7754381543157807E-2</v>
      </c>
      <c r="G6" s="225">
        <f>'Expected Growth Rate'!$C$11</f>
        <v>1.7754381543157807E-2</v>
      </c>
      <c r="H6" s="225">
        <f>'Expected Growth Rate'!$C$11</f>
        <v>1.7754381543157807E-2</v>
      </c>
      <c r="I6" s="225">
        <f>'Expected Growth Rate'!$C$11</f>
        <v>1.7754381543157807E-2</v>
      </c>
      <c r="J6" s="225">
        <f>'Expected Growth Rate'!$C$11</f>
        <v>1.7754381543157807E-2</v>
      </c>
      <c r="K6" s="225">
        <f>'Expected Growth Rate'!$C$11</f>
        <v>1.7754381543157807E-2</v>
      </c>
      <c r="L6" s="225">
        <f>'Expected Growth Rate'!$C$11</f>
        <v>1.7754381543157807E-2</v>
      </c>
      <c r="M6" s="225">
        <f>'Expected Growth Rate'!$C$11</f>
        <v>1.7754381543157807E-2</v>
      </c>
      <c r="N6" s="412"/>
      <c r="O6" s="559" t="s">
        <v>315</v>
      </c>
      <c r="P6" s="225">
        <v>1.78E-2</v>
      </c>
      <c r="Q6" s="51"/>
      <c r="R6" s="411"/>
      <c r="S6" s="82"/>
      <c r="T6" s="82"/>
    </row>
    <row r="7" spans="1:32" ht="12" customHeight="1">
      <c r="B7" s="419" t="s">
        <v>388</v>
      </c>
      <c r="C7" s="377">
        <f>-C5*(1-C8)</f>
        <v>-70559.345113669202</v>
      </c>
      <c r="D7" s="377">
        <f t="shared" ref="D7:L7" si="1">-D5*(1-D8)</f>
        <v>-71373.891176375953</v>
      </c>
      <c r="E7" s="377">
        <f t="shared" si="1"/>
        <v>-72195.119182083814</v>
      </c>
      <c r="F7" s="377">
        <f t="shared" si="1"/>
        <v>-72569.120403785448</v>
      </c>
      <c r="G7" s="377">
        <f t="shared" si="1"/>
        <v>-72933.644740565098</v>
      </c>
      <c r="H7" s="377">
        <f t="shared" si="1"/>
        <v>-73288.237788020226</v>
      </c>
      <c r="I7" s="377">
        <f t="shared" si="1"/>
        <v>-73632.431993695383</v>
      </c>
      <c r="J7" s="377">
        <f t="shared" si="1"/>
        <v>-73965.746333447474</v>
      </c>
      <c r="K7" s="377">
        <f t="shared" si="1"/>
        <v>-74783.324197719921</v>
      </c>
      <c r="L7" s="377">
        <f t="shared" si="1"/>
        <v>-75606.617901319361</v>
      </c>
      <c r="M7" s="377">
        <f>-M5*(1-M8)</f>
        <v>-75922.178739910421</v>
      </c>
      <c r="N7" s="229"/>
      <c r="Q7" s="51"/>
      <c r="R7" s="411"/>
      <c r="S7" s="82"/>
      <c r="T7" s="82"/>
    </row>
    <row r="8" spans="1:32" ht="12" customHeight="1">
      <c r="A8" s="84"/>
      <c r="B8" s="423" t="s">
        <v>389</v>
      </c>
      <c r="C8" s="225">
        <f>'Accounting Adjustments'!C47</f>
        <v>-5.9322380399789862E-2</v>
      </c>
      <c r="D8" s="225">
        <f>AVERAGE(C8,E8)</f>
        <v>-5.2858481624803E-2</v>
      </c>
      <c r="E8" s="225">
        <f>AVERAGE(C8,F8)</f>
        <v>-4.6394582849816131E-2</v>
      </c>
      <c r="F8" s="225">
        <f>AVERAGE(C8,H8)</f>
        <v>-3.34667852998424E-2</v>
      </c>
      <c r="G8" s="422">
        <f>AVERAGE(F8,H8)</f>
        <v>-2.0538987749868665E-2</v>
      </c>
      <c r="H8" s="225">
        <f>AVERAGE(C8,M8)</f>
        <v>-7.6111901998949308E-3</v>
      </c>
      <c r="I8" s="92">
        <f>AVERAGE(H8,J8)</f>
        <v>5.316607350078802E-3</v>
      </c>
      <c r="J8" s="92">
        <f>AVERAGE(H8,M8)</f>
        <v>1.8244404900052535E-2</v>
      </c>
      <c r="K8" s="92">
        <f>AVERAGE(J8,L8)</f>
        <v>2.47083036750394E-2</v>
      </c>
      <c r="L8" s="92">
        <f>AVERAGE(J8,M8)</f>
        <v>3.1172202450026269E-2</v>
      </c>
      <c r="M8" s="355">
        <f>'Expected Growth Rate'!C24</f>
        <v>4.41E-2</v>
      </c>
      <c r="N8" s="229"/>
      <c r="Q8" s="51"/>
      <c r="R8" s="411"/>
      <c r="S8" s="82"/>
      <c r="T8" s="82"/>
    </row>
    <row r="9" spans="1:32" ht="12" customHeight="1">
      <c r="A9" s="84"/>
      <c r="B9" s="419" t="s">
        <v>408</v>
      </c>
      <c r="C9" s="377"/>
      <c r="D9" s="377">
        <f>-'Future Value (Equity Options)'!D15</f>
        <v>-299.56635455788455</v>
      </c>
      <c r="E9" s="377">
        <f>-'Future Value (Equity Options)'!E15</f>
        <v>-275.3986191419807</v>
      </c>
      <c r="F9" s="377">
        <f>-'Future Value (Equity Options)'!F15</f>
        <v>-250.27828860854348</v>
      </c>
      <c r="G9" s="377">
        <f>-'Future Value (Equity Options)'!G15</f>
        <v>-224.17915558999582</v>
      </c>
      <c r="H9" s="377">
        <f>-'Future Value (Equity Options)'!H15</f>
        <v>-197.07438240274286</v>
      </c>
      <c r="I9" s="377">
        <f>-'Future Value (Equity Options)'!I15</f>
        <v>-168.93648692646568</v>
      </c>
      <c r="J9" s="377">
        <f>-'Future Value (Equity Options)'!J15</f>
        <v>-139.73732818069277</v>
      </c>
      <c r="K9" s="377">
        <f>-'Future Value (Equity Options)'!K15</f>
        <v>-109.44809159235199</v>
      </c>
      <c r="L9" s="377">
        <f>-'Future Value (Equity Options)'!L15</f>
        <v>-78.0392739478756</v>
      </c>
      <c r="M9" s="377">
        <f>-'Future Value (Equity Options)'!M15</f>
        <v>-79.424812992897188</v>
      </c>
      <c r="N9" s="229"/>
      <c r="O9" s="229"/>
      <c r="P9" s="410"/>
      <c r="Q9" s="51"/>
      <c r="R9" s="411"/>
      <c r="S9" s="82"/>
      <c r="T9" s="82"/>
    </row>
    <row r="10" spans="1:32">
      <c r="A10" s="80"/>
      <c r="B10" s="421" t="s">
        <v>390</v>
      </c>
      <c r="C10" s="363">
        <f>C5+C7+C9</f>
        <v>-3951.345113669202</v>
      </c>
      <c r="D10" s="363">
        <f t="shared" ref="D10:L10" si="2">D5+D7+D9</f>
        <v>-3882.8736851071862</v>
      </c>
      <c r="E10" s="363">
        <f t="shared" si="2"/>
        <v>-3476.3540647669124</v>
      </c>
      <c r="F10" s="363">
        <f>F5+F7+F9</f>
        <v>-2600.2862487069169</v>
      </c>
      <c r="G10" s="363">
        <f t="shared" si="2"/>
        <v>-1692.0145385209012</v>
      </c>
      <c r="H10" s="363">
        <f t="shared" si="2"/>
        <v>-750.67156616276566</v>
      </c>
      <c r="I10" s="363">
        <f t="shared" si="2"/>
        <v>224.63068433084371</v>
      </c>
      <c r="J10" s="363">
        <f t="shared" si="2"/>
        <v>1234.8013366125683</v>
      </c>
      <c r="K10" s="363">
        <f t="shared" si="2"/>
        <v>1785.132874357467</v>
      </c>
      <c r="L10" s="363">
        <f t="shared" si="2"/>
        <v>2354.6167726083604</v>
      </c>
      <c r="M10" s="363">
        <f>M5+M7+M9</f>
        <v>3423.2094399938715</v>
      </c>
      <c r="N10" s="229"/>
      <c r="O10" s="229"/>
      <c r="P10" s="410"/>
      <c r="Q10" s="51"/>
      <c r="R10" s="411"/>
      <c r="S10" s="82"/>
      <c r="T10" s="82"/>
    </row>
    <row r="11" spans="1:32" ht="12" customHeight="1">
      <c r="B11" s="423" t="s">
        <v>391</v>
      </c>
      <c r="C11" s="377">
        <f>-C10*C12</f>
        <v>382.49020700317874</v>
      </c>
      <c r="D11" s="377">
        <f t="shared" ref="D11:M11" si="3">-D10*D12</f>
        <v>435.80382856945312</v>
      </c>
      <c r="E11" s="377">
        <f t="shared" si="3"/>
        <v>443.84313516693231</v>
      </c>
      <c r="F11" s="377">
        <f t="shared" si="3"/>
        <v>372.1330505737651</v>
      </c>
      <c r="G11" s="377">
        <f t="shared" si="3"/>
        <v>268.26854485814908</v>
      </c>
      <c r="H11" s="377">
        <f t="shared" si="3"/>
        <v>124.81304317397463</v>
      </c>
      <c r="I11" s="377">
        <f t="shared" si="3"/>
        <v>-39.08287141109372</v>
      </c>
      <c r="J11" s="377">
        <f t="shared" si="3"/>
        <v>-233.90184886011025</v>
      </c>
      <c r="K11" s="377">
        <f t="shared" si="3"/>
        <v>-351.92717151960221</v>
      </c>
      <c r="L11" s="377">
        <f t="shared" si="3"/>
        <v>-482.37180132066527</v>
      </c>
      <c r="M11" s="377">
        <f t="shared" si="3"/>
        <v>-754.13158205054924</v>
      </c>
      <c r="N11" s="229"/>
      <c r="O11" s="229"/>
      <c r="P11" s="410"/>
      <c r="Q11" s="51"/>
      <c r="R11" s="411"/>
      <c r="S11" s="82"/>
      <c r="T11" s="82"/>
    </row>
    <row r="12" spans="1:32">
      <c r="A12" s="84"/>
      <c r="B12" s="423" t="s">
        <v>392</v>
      </c>
      <c r="C12" s="225">
        <v>9.6799999999999997E-2</v>
      </c>
      <c r="D12" s="225">
        <f>AVERAGE(C12,E12)</f>
        <v>0.11223744677582083</v>
      </c>
      <c r="E12" s="225">
        <f>AVERAGE(C12,G12)</f>
        <v>0.12767489355164166</v>
      </c>
      <c r="F12" s="225">
        <f>AVERAGE(E12,G12)</f>
        <v>0.14311234032746251</v>
      </c>
      <c r="G12" s="225">
        <f>AVERAGE(C12,M12)</f>
        <v>0.15854978710328332</v>
      </c>
      <c r="H12" s="225">
        <f>AVERAGE(G12,I12)</f>
        <v>0.16626851049119373</v>
      </c>
      <c r="I12" s="225">
        <f>AVERAGE(G12,J12)</f>
        <v>0.17398723387910414</v>
      </c>
      <c r="J12" s="225">
        <f>AVERAGE(G12,M12)</f>
        <v>0.18942468065492496</v>
      </c>
      <c r="K12" s="225">
        <f>AVERAGE(J12,L12)</f>
        <v>0.19714340404283537</v>
      </c>
      <c r="L12" s="225">
        <f>AVERAGE(J12,M12)</f>
        <v>0.20486212743074578</v>
      </c>
      <c r="M12" s="225">
        <f>'Risk Free Rate &amp; ERP'!$H$20</f>
        <v>0.22029957420656662</v>
      </c>
      <c r="N12" s="229"/>
      <c r="O12" s="229"/>
      <c r="P12" s="410"/>
      <c r="Q12" s="51"/>
      <c r="R12" s="411"/>
      <c r="S12" s="82"/>
      <c r="T12" s="82"/>
    </row>
    <row r="13" spans="1:32">
      <c r="B13" s="421" t="s">
        <v>393</v>
      </c>
      <c r="C13" s="428">
        <f>C10+C11</f>
        <v>-3568.8549066660235</v>
      </c>
      <c r="D13" s="428">
        <f t="shared" ref="D13:M13" si="4">D10+D11</f>
        <v>-3447.0698565377334</v>
      </c>
      <c r="E13" s="428">
        <f t="shared" si="4"/>
        <v>-3032.51092959998</v>
      </c>
      <c r="F13" s="428">
        <f t="shared" si="4"/>
        <v>-2228.1531981331518</v>
      </c>
      <c r="G13" s="428">
        <f t="shared" si="4"/>
        <v>-1423.745993662752</v>
      </c>
      <c r="H13" s="428">
        <f t="shared" si="4"/>
        <v>-625.85852298879104</v>
      </c>
      <c r="I13" s="428">
        <f t="shared" si="4"/>
        <v>185.54781291974999</v>
      </c>
      <c r="J13" s="428">
        <f t="shared" si="4"/>
        <v>1000.8994877524581</v>
      </c>
      <c r="K13" s="428">
        <f t="shared" si="4"/>
        <v>1433.2057028378649</v>
      </c>
      <c r="L13" s="428">
        <f t="shared" si="4"/>
        <v>1872.2449712876951</v>
      </c>
      <c r="M13" s="428">
        <f t="shared" si="4"/>
        <v>2669.0778579433222</v>
      </c>
      <c r="N13" s="229"/>
      <c r="O13" s="229"/>
      <c r="P13" s="410"/>
      <c r="Q13" s="51"/>
      <c r="R13" s="411"/>
      <c r="S13" s="82"/>
      <c r="T13" s="82"/>
    </row>
    <row r="14" spans="1:32">
      <c r="A14" s="84"/>
      <c r="B14" s="146"/>
      <c r="C14" s="405"/>
      <c r="D14" s="50"/>
      <c r="E14" s="405"/>
      <c r="F14" s="225"/>
      <c r="G14" s="406"/>
      <c r="H14" s="407"/>
      <c r="J14" s="404"/>
      <c r="K14" s="51"/>
      <c r="L14" s="413"/>
      <c r="N14" s="229"/>
      <c r="O14" s="229"/>
      <c r="P14" s="410"/>
      <c r="Q14" s="51"/>
      <c r="R14" s="411"/>
      <c r="S14" s="82"/>
      <c r="T14" s="82"/>
    </row>
    <row r="15" spans="1:32">
      <c r="B15" s="419" t="s">
        <v>394</v>
      </c>
      <c r="C15" s="405"/>
      <c r="D15" s="429">
        <f t="shared" ref="D15:M15" si="5">D5-C5</f>
        <v>1182.5838458266517</v>
      </c>
      <c r="E15" s="429">
        <f t="shared" si="5"/>
        <v>1203.5798906322307</v>
      </c>
      <c r="F15" s="429">
        <f t="shared" si="5"/>
        <v>1224.9487072281918</v>
      </c>
      <c r="G15" s="429">
        <f t="shared" si="5"/>
        <v>1246.6969139471184</v>
      </c>
      <c r="H15" s="429">
        <f t="shared" si="5"/>
        <v>1268.8312466260104</v>
      </c>
      <c r="I15" s="429">
        <f t="shared" si="5"/>
        <v>1291.3585606924898</v>
      </c>
      <c r="J15" s="429">
        <f t="shared" si="5"/>
        <v>1314.2858332880423</v>
      </c>
      <c r="K15" s="429">
        <f t="shared" si="5"/>
        <v>1337.6201654290053</v>
      </c>
      <c r="L15" s="429">
        <f t="shared" si="5"/>
        <v>1361.3687842058571</v>
      </c>
      <c r="M15" s="429">
        <f t="shared" si="5"/>
        <v>1385.5390450215928</v>
      </c>
      <c r="N15" s="229"/>
      <c r="O15" s="229"/>
      <c r="P15" s="410"/>
      <c r="Q15" s="51"/>
      <c r="R15" s="411"/>
      <c r="S15" s="82"/>
      <c r="T15" s="82"/>
      <c r="U15" s="82"/>
      <c r="V15" s="82"/>
      <c r="W15" s="82"/>
      <c r="X15" s="82"/>
      <c r="Y15" s="82"/>
      <c r="Z15" s="82"/>
    </row>
    <row r="16" spans="1:32">
      <c r="B16" s="420" t="s">
        <v>395</v>
      </c>
      <c r="C16" s="98">
        <f>C5/C20</f>
        <v>1.7434937669731374</v>
      </c>
      <c r="D16" s="98">
        <v>1.7434937669731374</v>
      </c>
      <c r="E16" s="98">
        <v>1.7434937669731374</v>
      </c>
      <c r="F16" s="98">
        <v>1.7434937669731374</v>
      </c>
      <c r="G16" s="98">
        <v>1.7434937669731374</v>
      </c>
      <c r="H16" s="98">
        <v>1.7434937669731374</v>
      </c>
      <c r="I16" s="98">
        <v>1.7434937669731374</v>
      </c>
      <c r="J16" s="98">
        <v>1.7434937669731374</v>
      </c>
      <c r="K16" s="98">
        <v>1.7434937669731374</v>
      </c>
      <c r="L16" s="98">
        <v>1.7434937669731374</v>
      </c>
      <c r="M16" s="98">
        <v>1.7434937669731374</v>
      </c>
      <c r="N16" s="229"/>
      <c r="O16" s="229"/>
      <c r="P16" s="410"/>
      <c r="Q16" s="51"/>
      <c r="R16" s="411"/>
      <c r="S16" s="82"/>
      <c r="T16" s="82"/>
      <c r="U16" s="82"/>
      <c r="V16" s="82"/>
      <c r="W16" s="82"/>
      <c r="X16" s="82"/>
      <c r="Y16" s="82"/>
      <c r="Z16" s="82"/>
      <c r="AA16" s="82"/>
      <c r="AB16" s="82"/>
      <c r="AC16" s="82"/>
      <c r="AD16" s="82"/>
      <c r="AE16" s="82"/>
      <c r="AF16" s="82"/>
    </row>
    <row r="17" spans="1:34">
      <c r="B17" s="353" t="s">
        <v>50</v>
      </c>
      <c r="C17" s="361">
        <f>'FCFF &amp; FCFE'!C9</f>
        <v>678.28395387941509</v>
      </c>
      <c r="D17" s="430">
        <f t="shared" ref="D17:M17" si="6">D15/D16</f>
        <v>678.28395387941305</v>
      </c>
      <c r="E17" s="430">
        <f t="shared" si="6"/>
        <v>690.32646599118846</v>
      </c>
      <c r="F17" s="430">
        <f t="shared" si="6"/>
        <v>702.58278545773828</v>
      </c>
      <c r="G17" s="430">
        <f t="shared" si="6"/>
        <v>715.05670829640928</v>
      </c>
      <c r="H17" s="430">
        <f t="shared" si="6"/>
        <v>727.75209792049668</v>
      </c>
      <c r="I17" s="430">
        <f t="shared" si="6"/>
        <v>740.6728863358112</v>
      </c>
      <c r="J17" s="430">
        <f t="shared" si="6"/>
        <v>753.82307535848622</v>
      </c>
      <c r="K17" s="430">
        <f t="shared" si="6"/>
        <v>767.20673785443728</v>
      </c>
      <c r="L17" s="430">
        <f t="shared" si="6"/>
        <v>780.82801900078846</v>
      </c>
      <c r="M17" s="430">
        <f t="shared" si="6"/>
        <v>794.69113756971649</v>
      </c>
      <c r="N17" s="229"/>
      <c r="O17" s="229"/>
      <c r="P17" s="410"/>
      <c r="Q17" s="51"/>
      <c r="R17" s="411"/>
      <c r="S17" s="82"/>
      <c r="T17" s="82"/>
      <c r="U17" s="82"/>
      <c r="V17" s="82"/>
      <c r="W17" s="82"/>
      <c r="X17" s="82"/>
      <c r="Y17" s="82"/>
      <c r="Z17" s="82"/>
      <c r="AA17" s="82"/>
      <c r="AB17" s="82"/>
      <c r="AC17" s="82"/>
      <c r="AD17" s="82"/>
      <c r="AE17" s="82"/>
      <c r="AF17" s="82"/>
    </row>
    <row r="18" spans="1:34">
      <c r="N18" s="246"/>
      <c r="R18" s="82"/>
      <c r="S18" s="82"/>
      <c r="T18" s="82"/>
      <c r="U18" s="82"/>
      <c r="V18" s="82"/>
      <c r="W18" s="82"/>
      <c r="X18" s="82"/>
      <c r="Y18" s="82"/>
      <c r="Z18" s="82"/>
      <c r="AA18" s="82"/>
      <c r="AB18" s="82"/>
      <c r="AC18" s="82"/>
      <c r="AD18" s="82"/>
      <c r="AE18" s="82"/>
      <c r="AF18" s="82"/>
    </row>
    <row r="19" spans="1:34">
      <c r="A19" s="84"/>
      <c r="B19" s="82" t="s">
        <v>399</v>
      </c>
      <c r="C19" s="364">
        <f>C17/C13</f>
        <v>-0.19005646674301446</v>
      </c>
      <c r="D19" s="364">
        <f t="shared" ref="D19:M19" si="7">D17/D13</f>
        <v>-0.19677116568814979</v>
      </c>
      <c r="E19" s="364">
        <f t="shared" si="7"/>
        <v>-0.22764187236820602</v>
      </c>
      <c r="F19" s="364">
        <f t="shared" si="7"/>
        <v>-0.31532068174055272</v>
      </c>
      <c r="G19" s="364">
        <f t="shared" si="7"/>
        <v>-0.5022361513073289</v>
      </c>
      <c r="H19" s="364">
        <f t="shared" si="7"/>
        <v>-1.1628060834661358</v>
      </c>
      <c r="I19" s="364">
        <f t="shared" si="7"/>
        <v>3.9918168513048147</v>
      </c>
      <c r="J19" s="364">
        <f t="shared" si="7"/>
        <v>0.75314563008840441</v>
      </c>
      <c r="K19" s="364">
        <f t="shared" si="7"/>
        <v>0.535308181048474</v>
      </c>
      <c r="L19" s="364">
        <f t="shared" si="7"/>
        <v>0.41705440846437397</v>
      </c>
      <c r="M19" s="364">
        <f t="shared" si="7"/>
        <v>0.29773996108980938</v>
      </c>
      <c r="N19" s="47"/>
      <c r="O19" s="47"/>
      <c r="R19" s="82"/>
      <c r="S19" s="82"/>
      <c r="T19" s="82"/>
      <c r="U19" s="82"/>
      <c r="V19" s="82"/>
      <c r="W19" s="82"/>
      <c r="X19" s="82"/>
      <c r="Y19" s="82"/>
      <c r="Z19" s="82"/>
      <c r="AA19" s="82"/>
      <c r="AB19" s="82"/>
      <c r="AC19" s="82"/>
      <c r="AD19" s="82"/>
      <c r="AE19" s="82"/>
      <c r="AF19" s="82"/>
    </row>
    <row r="20" spans="1:34" ht="12" customHeight="1">
      <c r="B20" s="419" t="s">
        <v>73</v>
      </c>
      <c r="C20" s="377">
        <f>'Expected Growth Rate'!C8</f>
        <v>38203.75</v>
      </c>
      <c r="D20" s="390">
        <f t="shared" ref="D20:M20" si="8">C20+D17</f>
        <v>38882.033953879414</v>
      </c>
      <c r="E20" s="390">
        <f t="shared" si="8"/>
        <v>39572.360419870602</v>
      </c>
      <c r="F20" s="390">
        <f t="shared" si="8"/>
        <v>40274.943205328338</v>
      </c>
      <c r="G20" s="390">
        <f t="shared" si="8"/>
        <v>40989.99991362475</v>
      </c>
      <c r="H20" s="390">
        <f t="shared" si="8"/>
        <v>41717.75201154525</v>
      </c>
      <c r="I20" s="390">
        <f t="shared" si="8"/>
        <v>42458.424897881065</v>
      </c>
      <c r="J20" s="390">
        <f t="shared" si="8"/>
        <v>43212.247973239551</v>
      </c>
      <c r="K20" s="390">
        <f t="shared" si="8"/>
        <v>43979.454711093989</v>
      </c>
      <c r="L20" s="390">
        <f t="shared" si="8"/>
        <v>44760.282730094776</v>
      </c>
      <c r="M20" s="390">
        <f t="shared" si="8"/>
        <v>45554.973867664492</v>
      </c>
      <c r="N20" s="230"/>
      <c r="O20" s="230"/>
      <c r="R20" s="82"/>
      <c r="S20" s="82"/>
      <c r="T20" s="82"/>
      <c r="U20" s="82"/>
      <c r="V20" s="82"/>
      <c r="W20" s="82"/>
      <c r="X20" s="82"/>
      <c r="Y20" s="82"/>
      <c r="Z20" s="82"/>
      <c r="AA20" s="82"/>
      <c r="AB20" s="82"/>
      <c r="AC20" s="82"/>
      <c r="AD20" s="82"/>
      <c r="AE20" s="82"/>
      <c r="AF20" s="82"/>
    </row>
    <row r="21" spans="1:34">
      <c r="A21" s="84"/>
      <c r="B21" s="82" t="s">
        <v>396</v>
      </c>
      <c r="C21" s="92">
        <f t="shared" ref="C21:M21" si="9">C13/C20</f>
        <v>-9.3416350663639652E-2</v>
      </c>
      <c r="D21" s="92">
        <f t="shared" si="9"/>
        <v>-8.8654566287003758E-2</v>
      </c>
      <c r="E21" s="92">
        <f t="shared" si="9"/>
        <v>-7.6632045635500051E-2</v>
      </c>
      <c r="F21" s="92">
        <f t="shared" si="9"/>
        <v>-5.5323559037033454E-2</v>
      </c>
      <c r="G21" s="92">
        <f t="shared" si="9"/>
        <v>-3.4733983817099502E-2</v>
      </c>
      <c r="H21" s="92">
        <f t="shared" si="9"/>
        <v>-1.500221111663895E-2</v>
      </c>
      <c r="I21" s="92">
        <f t="shared" si="9"/>
        <v>4.3701058945549804E-3</v>
      </c>
      <c r="J21" s="92">
        <f t="shared" si="9"/>
        <v>2.316240266815775E-2</v>
      </c>
      <c r="K21" s="92">
        <f t="shared" si="9"/>
        <v>3.258807350506629E-2</v>
      </c>
      <c r="L21" s="92">
        <f t="shared" si="9"/>
        <v>4.1828265084413396E-2</v>
      </c>
      <c r="M21" s="92">
        <f t="shared" si="9"/>
        <v>5.8590262079765303E-2</v>
      </c>
      <c r="N21" s="230"/>
      <c r="O21" s="82"/>
      <c r="R21" s="82"/>
      <c r="S21" s="82"/>
      <c r="T21" s="82"/>
      <c r="U21" s="82"/>
      <c r="V21" s="82"/>
      <c r="W21" s="82"/>
      <c r="X21" s="82"/>
      <c r="Y21" s="82"/>
      <c r="Z21" s="82"/>
      <c r="AA21" s="82"/>
      <c r="AB21" s="82"/>
      <c r="AC21" s="82"/>
      <c r="AD21" s="82"/>
      <c r="AE21" s="82"/>
      <c r="AF21" s="82"/>
    </row>
    <row r="22" spans="1:34">
      <c r="N22" s="98"/>
      <c r="O22" s="82"/>
      <c r="P22" s="82"/>
      <c r="Q22" s="82"/>
      <c r="R22" s="82"/>
      <c r="S22" s="82"/>
      <c r="T22" s="82"/>
      <c r="U22" s="82"/>
      <c r="V22" s="82"/>
      <c r="W22" s="82"/>
      <c r="X22" s="82"/>
      <c r="Y22" s="82"/>
      <c r="Z22" s="82"/>
      <c r="AA22" s="82"/>
      <c r="AB22" s="82"/>
      <c r="AC22" s="82"/>
      <c r="AD22" s="82"/>
      <c r="AE22" s="82"/>
      <c r="AF22" s="82"/>
      <c r="AG22" s="82"/>
    </row>
    <row r="23" spans="1:34">
      <c r="B23" s="354" t="s">
        <v>397</v>
      </c>
      <c r="C23" s="432">
        <f t="shared" ref="C23:M23" si="10">C13-C17</f>
        <v>-4247.1388605454385</v>
      </c>
      <c r="D23" s="432">
        <f t="shared" si="10"/>
        <v>-4125.3538104171466</v>
      </c>
      <c r="E23" s="432">
        <f t="shared" si="10"/>
        <v>-3722.8373955911684</v>
      </c>
      <c r="F23" s="432">
        <f t="shared" si="10"/>
        <v>-2930.7359835908901</v>
      </c>
      <c r="G23" s="432">
        <f t="shared" si="10"/>
        <v>-2138.8027019591614</v>
      </c>
      <c r="H23" s="432">
        <f t="shared" si="10"/>
        <v>-1353.6106209092877</v>
      </c>
      <c r="I23" s="432">
        <f t="shared" si="10"/>
        <v>-555.12507341606124</v>
      </c>
      <c r="J23" s="432">
        <f t="shared" si="10"/>
        <v>247.07641239397185</v>
      </c>
      <c r="K23" s="432">
        <f t="shared" si="10"/>
        <v>665.99896498342764</v>
      </c>
      <c r="L23" s="432">
        <f t="shared" si="10"/>
        <v>1091.4169522869065</v>
      </c>
      <c r="M23" s="432">
        <f t="shared" si="10"/>
        <v>1874.3867203736058</v>
      </c>
      <c r="N23" s="98"/>
      <c r="O23" s="82"/>
      <c r="P23" s="82"/>
      <c r="Q23" s="82"/>
      <c r="R23" s="82"/>
      <c r="S23" s="82"/>
      <c r="T23" s="82"/>
      <c r="U23" s="82"/>
      <c r="V23" s="82"/>
      <c r="W23" s="82"/>
      <c r="X23" s="82"/>
      <c r="Y23" s="82"/>
      <c r="Z23" s="82"/>
      <c r="AA23" s="82"/>
      <c r="AB23" s="82"/>
      <c r="AC23" s="82"/>
      <c r="AD23" s="82"/>
      <c r="AE23" s="82"/>
      <c r="AF23" s="82"/>
      <c r="AG23" s="82"/>
      <c r="AH23" s="82"/>
    </row>
    <row r="24" spans="1:34">
      <c r="L24" s="82"/>
      <c r="N24" s="98"/>
      <c r="O24" s="82"/>
      <c r="P24" s="82"/>
      <c r="Q24" s="82"/>
      <c r="R24" s="82"/>
      <c r="S24" s="82"/>
      <c r="T24" s="82"/>
      <c r="U24" s="82"/>
      <c r="V24" s="82"/>
      <c r="W24" s="82"/>
      <c r="X24" s="82"/>
      <c r="Y24" s="82"/>
      <c r="Z24" s="82"/>
      <c r="AA24" s="82"/>
      <c r="AB24" s="82"/>
      <c r="AC24" s="82"/>
      <c r="AD24" s="82"/>
      <c r="AE24" s="82"/>
      <c r="AF24" s="82"/>
    </row>
    <row r="25" spans="1:34">
      <c r="D25" s="36"/>
      <c r="L25" s="82"/>
      <c r="N25" s="99"/>
      <c r="O25" s="82"/>
      <c r="P25" s="82"/>
      <c r="Q25" s="82"/>
      <c r="R25" s="82"/>
      <c r="S25" s="82"/>
      <c r="T25" s="82"/>
      <c r="U25" s="82"/>
      <c r="V25" s="82"/>
      <c r="W25" s="82"/>
      <c r="X25" s="82"/>
      <c r="Y25" s="82"/>
      <c r="Z25" s="82"/>
      <c r="AA25" s="82"/>
      <c r="AB25" s="82"/>
      <c r="AC25" s="82"/>
      <c r="AD25" s="82"/>
      <c r="AE25" s="82"/>
      <c r="AF25" s="82"/>
    </row>
    <row r="26" spans="1:34">
      <c r="L26" s="82"/>
      <c r="N26" s="82"/>
      <c r="O26" s="82"/>
      <c r="P26" s="82"/>
      <c r="Q26" s="82"/>
      <c r="R26" s="82"/>
      <c r="S26" s="82"/>
      <c r="T26" s="82"/>
      <c r="U26" s="82"/>
      <c r="V26" s="82"/>
      <c r="W26" s="82"/>
      <c r="X26" s="82"/>
      <c r="Y26" s="82"/>
      <c r="Z26" s="82"/>
      <c r="AA26" s="82"/>
      <c r="AB26" s="82"/>
      <c r="AC26" s="82"/>
      <c r="AD26" s="82"/>
      <c r="AE26" s="82"/>
      <c r="AF26" s="82"/>
    </row>
    <row r="27" spans="1:34">
      <c r="L27" s="82"/>
      <c r="M27" s="82"/>
      <c r="O27" s="82"/>
      <c r="P27" s="82"/>
      <c r="Q27" s="82"/>
      <c r="R27" s="82"/>
      <c r="S27" s="82"/>
      <c r="T27" s="82"/>
      <c r="U27" s="82"/>
      <c r="V27" s="82"/>
      <c r="W27" s="82"/>
      <c r="X27" s="82"/>
      <c r="Y27" s="82"/>
      <c r="Z27" s="82"/>
      <c r="AA27" s="82"/>
      <c r="AB27" s="82"/>
      <c r="AC27" s="82"/>
      <c r="AD27" s="82"/>
      <c r="AE27" s="82"/>
      <c r="AF27" s="82"/>
      <c r="AG27" s="82"/>
      <c r="AH27" s="82"/>
    </row>
    <row r="28" spans="1:34">
      <c r="L28" s="82"/>
      <c r="M28" s="82"/>
      <c r="O28" s="82"/>
      <c r="P28" s="82"/>
      <c r="Q28" s="82"/>
      <c r="R28" s="82"/>
      <c r="S28" s="82"/>
      <c r="T28" s="82"/>
      <c r="U28" s="82"/>
      <c r="V28" s="82"/>
      <c r="W28" s="82"/>
      <c r="X28" s="82"/>
      <c r="Y28" s="82"/>
      <c r="Z28" s="82"/>
      <c r="AA28" s="82"/>
      <c r="AB28" s="82"/>
      <c r="AC28" s="82"/>
      <c r="AD28" s="82"/>
      <c r="AE28" s="82"/>
      <c r="AF28" s="82"/>
      <c r="AG28" s="82"/>
      <c r="AH28" s="82"/>
    </row>
    <row r="29" spans="1:34">
      <c r="L29" s="82"/>
      <c r="M29" s="82"/>
      <c r="O29" s="82"/>
      <c r="P29" s="82"/>
      <c r="Q29" s="82"/>
      <c r="R29" s="82"/>
      <c r="S29" s="82"/>
      <c r="T29" s="82"/>
      <c r="U29" s="82"/>
      <c r="V29" s="82"/>
      <c r="W29" s="82"/>
      <c r="X29" s="82"/>
      <c r="Y29" s="82"/>
      <c r="Z29" s="82"/>
      <c r="AA29" s="82"/>
      <c r="AB29" s="82"/>
      <c r="AC29" s="82"/>
      <c r="AD29" s="82"/>
      <c r="AE29" s="82"/>
      <c r="AF29" s="82"/>
      <c r="AG29" s="82"/>
      <c r="AH29" s="82"/>
    </row>
    <row r="30" spans="1:34" ht="14.25" customHeight="1">
      <c r="L30" s="82"/>
      <c r="M30" s="82"/>
      <c r="P30" s="82"/>
      <c r="Q30" s="82"/>
      <c r="R30" s="82"/>
      <c r="S30" s="82"/>
      <c r="T30" s="82"/>
      <c r="U30" s="82"/>
      <c r="V30" s="82"/>
      <c r="W30" s="82"/>
      <c r="X30" s="82"/>
      <c r="Y30" s="82"/>
      <c r="Z30" s="82"/>
      <c r="AA30" s="82"/>
      <c r="AB30" s="82"/>
      <c r="AC30" s="82"/>
      <c r="AD30" s="82"/>
      <c r="AE30" s="82"/>
      <c r="AF30" s="82"/>
      <c r="AG30" s="82"/>
      <c r="AH30" s="82"/>
    </row>
    <row r="31" spans="1:34">
      <c r="L31" s="82"/>
      <c r="M31" s="82"/>
      <c r="N31" s="82"/>
      <c r="P31" s="82"/>
      <c r="Q31" s="82"/>
      <c r="R31" s="82"/>
      <c r="S31" s="82"/>
      <c r="T31" s="82"/>
      <c r="U31" s="82"/>
      <c r="V31" s="82"/>
      <c r="W31" s="82"/>
      <c r="X31" s="82"/>
      <c r="Y31" s="82"/>
      <c r="Z31" s="82"/>
      <c r="AA31" s="82"/>
      <c r="AB31" s="82"/>
      <c r="AC31" s="82"/>
      <c r="AD31" s="82"/>
      <c r="AE31" s="82"/>
      <c r="AF31" s="82"/>
      <c r="AG31" s="82"/>
      <c r="AH31" s="82"/>
    </row>
    <row r="32" spans="1:34">
      <c r="L32" s="82"/>
      <c r="M32" s="82"/>
      <c r="N32" s="82"/>
      <c r="O32" s="82"/>
      <c r="P32" s="82"/>
      <c r="Q32" s="82"/>
      <c r="R32" s="82"/>
      <c r="S32" s="82"/>
      <c r="T32" s="82"/>
      <c r="U32" s="82"/>
      <c r="V32" s="82"/>
      <c r="W32" s="82"/>
      <c r="X32" s="82"/>
      <c r="Y32" s="82"/>
      <c r="Z32" s="82"/>
      <c r="AA32" s="82"/>
      <c r="AB32" s="82"/>
      <c r="AC32" s="82"/>
      <c r="AD32" s="82"/>
      <c r="AE32" s="82"/>
      <c r="AF32" s="82"/>
      <c r="AG32" s="82"/>
      <c r="AH32" s="82"/>
    </row>
    <row r="33" spans="12:34">
      <c r="L33" s="82"/>
      <c r="M33" s="82"/>
      <c r="N33" s="82"/>
      <c r="O33" s="82"/>
      <c r="P33" s="82"/>
      <c r="Q33" s="82"/>
      <c r="R33" s="82"/>
      <c r="S33" s="82"/>
      <c r="T33" s="82"/>
      <c r="U33" s="82"/>
      <c r="V33" s="82"/>
      <c r="W33" s="82"/>
      <c r="X33" s="82"/>
      <c r="Y33" s="82"/>
      <c r="Z33" s="82"/>
      <c r="AA33" s="82"/>
      <c r="AB33" s="82"/>
      <c r="AC33" s="82"/>
      <c r="AD33" s="82"/>
      <c r="AE33" s="82"/>
      <c r="AF33" s="82"/>
      <c r="AG33" s="82"/>
      <c r="AH33" s="82"/>
    </row>
    <row r="34" spans="12:34">
      <c r="L34" s="82"/>
      <c r="N34" s="82"/>
      <c r="O34" s="82"/>
      <c r="P34" s="82"/>
      <c r="Q34" s="82"/>
      <c r="R34" s="82"/>
      <c r="S34" s="82"/>
      <c r="T34" s="82"/>
      <c r="U34" s="82"/>
      <c r="V34" s="82"/>
      <c r="W34" s="82"/>
      <c r="X34" s="82"/>
      <c r="Y34" s="82"/>
      <c r="Z34" s="82"/>
      <c r="AA34" s="82"/>
      <c r="AB34" s="82"/>
      <c r="AC34" s="82"/>
      <c r="AD34" s="82"/>
      <c r="AE34" s="82"/>
      <c r="AF34" s="82"/>
      <c r="AG34" s="82"/>
      <c r="AH34" s="82"/>
    </row>
    <row r="35" spans="12:34">
      <c r="N35" s="82"/>
      <c r="O35" s="82"/>
      <c r="P35" s="82"/>
      <c r="Q35" s="82"/>
      <c r="R35" s="82"/>
      <c r="S35" s="82"/>
      <c r="T35" s="82"/>
      <c r="U35" s="82"/>
      <c r="V35" s="82"/>
      <c r="W35" s="82"/>
      <c r="X35" s="82"/>
      <c r="Y35" s="82"/>
      <c r="Z35" s="82"/>
      <c r="AA35" s="82"/>
      <c r="AB35" s="82"/>
      <c r="AC35" s="82"/>
      <c r="AD35" s="82"/>
      <c r="AE35" s="82"/>
      <c r="AF35" s="82"/>
      <c r="AG35" s="82"/>
      <c r="AH35" s="82"/>
    </row>
    <row r="36" spans="12:34">
      <c r="N36" s="82"/>
      <c r="O36" s="82"/>
      <c r="P36" s="82"/>
      <c r="Q36" s="82"/>
      <c r="R36" s="82"/>
      <c r="S36" s="82"/>
      <c r="T36" s="82"/>
      <c r="U36" s="82"/>
      <c r="V36" s="82"/>
      <c r="W36" s="82"/>
      <c r="X36" s="82"/>
      <c r="Y36" s="82"/>
      <c r="Z36" s="82"/>
      <c r="AA36" s="82"/>
      <c r="AB36" s="82"/>
      <c r="AC36" s="82"/>
      <c r="AD36" s="82"/>
      <c r="AE36" s="82"/>
      <c r="AF36" s="82"/>
      <c r="AG36" s="82"/>
      <c r="AH36" s="82"/>
    </row>
    <row r="37" spans="12:34">
      <c r="N37" s="82"/>
      <c r="O37" s="82"/>
      <c r="P37" s="82"/>
      <c r="Q37" s="82"/>
      <c r="R37" s="82"/>
      <c r="S37" s="82"/>
      <c r="T37" s="82"/>
      <c r="U37" s="82"/>
      <c r="V37" s="82"/>
      <c r="W37" s="82"/>
      <c r="X37" s="82"/>
      <c r="Y37" s="82"/>
      <c r="Z37" s="82"/>
      <c r="AA37" s="82"/>
      <c r="AB37" s="82"/>
      <c r="AC37" s="82"/>
      <c r="AD37" s="82"/>
      <c r="AE37" s="82"/>
      <c r="AF37" s="82"/>
      <c r="AG37" s="82"/>
      <c r="AH37" s="82"/>
    </row>
    <row r="38" spans="12:34">
      <c r="O38" s="82"/>
      <c r="P38" s="82"/>
      <c r="Q38" s="82"/>
      <c r="R38" s="82"/>
      <c r="S38" s="82"/>
      <c r="T38" s="82"/>
      <c r="U38" s="82"/>
      <c r="V38" s="82"/>
      <c r="W38" s="82"/>
      <c r="X38" s="82"/>
      <c r="Y38" s="82"/>
      <c r="Z38" s="82"/>
      <c r="AA38" s="82"/>
      <c r="AB38" s="82"/>
      <c r="AC38" s="82"/>
      <c r="AD38" s="82"/>
      <c r="AE38" s="82"/>
      <c r="AF38" s="82"/>
      <c r="AG38" s="82"/>
      <c r="AH38" s="82"/>
    </row>
  </sheetData>
  <pageMargins left="0.7" right="0.7" top="0.75" bottom="0.75" header="0.3" footer="0.3"/>
  <pageSetup orientation="landscape" r:id="rId1"/>
  <ignoredErrors>
    <ignoredError sqref="H8 G7 I7"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77" customWidth="1"/>
    <col min="2" max="2" width="23.140625" style="77" customWidth="1"/>
    <col min="3" max="3" width="13.140625" style="77" customWidth="1"/>
    <col min="4" max="4" width="9.42578125" style="77" customWidth="1"/>
    <col min="5" max="5" width="21.5703125" style="77" customWidth="1"/>
    <col min="6" max="6" width="10.140625" style="77" customWidth="1" collapsed="1"/>
    <col min="7" max="8" width="10.42578125" style="77" customWidth="1"/>
    <col min="9" max="9" width="9.140625" style="77" customWidth="1"/>
    <col min="10" max="10" width="9" style="77" customWidth="1"/>
    <col min="11" max="11" width="9.85546875" style="77" customWidth="1"/>
    <col min="12"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68</v>
      </c>
      <c r="C1" s="75"/>
      <c r="D1" s="75"/>
      <c r="E1" s="75"/>
      <c r="F1" s="75"/>
      <c r="G1" s="75"/>
      <c r="H1" s="75"/>
      <c r="I1" s="75"/>
      <c r="J1" s="75"/>
      <c r="K1" s="75"/>
    </row>
    <row r="2" spans="1:31" ht="12" customHeight="1">
      <c r="C2" s="89"/>
    </row>
    <row r="3" spans="1:31" ht="12" customHeight="1">
      <c r="A3" s="79"/>
      <c r="B3" s="247" t="s">
        <v>68</v>
      </c>
      <c r="C3" s="247"/>
      <c r="E3" s="247" t="s">
        <v>400</v>
      </c>
      <c r="F3" s="247"/>
      <c r="G3" s="142"/>
      <c r="H3" s="142"/>
      <c r="I3" s="142"/>
      <c r="J3" s="142"/>
      <c r="K3" s="95"/>
      <c r="L3" s="95"/>
      <c r="M3" s="95"/>
      <c r="N3" s="95"/>
      <c r="O3" s="95"/>
      <c r="P3" s="95"/>
    </row>
    <row r="4" spans="1:31" ht="12" customHeight="1" thickBot="1">
      <c r="A4" s="84"/>
      <c r="B4" s="349" t="str">
        <f>Drivers!$C$5&amp;" in mil"</f>
        <v>$ in mil</v>
      </c>
      <c r="C4" s="414"/>
      <c r="E4" s="349"/>
      <c r="F4" s="414"/>
      <c r="G4" s="437"/>
      <c r="H4" s="437"/>
      <c r="I4" s="437"/>
      <c r="J4" s="437"/>
      <c r="K4" s="112"/>
      <c r="L4" s="112"/>
      <c r="M4" s="112"/>
      <c r="N4" s="112"/>
      <c r="O4" s="112"/>
      <c r="P4" s="78"/>
      <c r="R4" s="81"/>
      <c r="S4" s="81"/>
      <c r="T4" s="81"/>
      <c r="U4" s="81"/>
      <c r="Z4" s="81"/>
    </row>
    <row r="5" spans="1:31" ht="12" customHeight="1">
      <c r="A5" s="84"/>
      <c r="B5" s="77" t="s">
        <v>78</v>
      </c>
      <c r="C5" s="360">
        <f>('Future CashFlows (10Y)'!M5*(1+'Future CashFlows (10Y)'!$P$6))*'Future CashFlows (10Y)'!$M$8</f>
        <v>3564.9811426899309</v>
      </c>
      <c r="E5" s="35" t="s">
        <v>231</v>
      </c>
      <c r="F5" s="92">
        <f>'Risk Free Rate &amp; ERP'!C6</f>
        <v>3.4320000000000003E-2</v>
      </c>
      <c r="J5" s="90"/>
      <c r="K5" s="36"/>
      <c r="L5" s="36"/>
      <c r="M5" s="36"/>
      <c r="N5" s="36"/>
      <c r="O5" s="36"/>
      <c r="P5" s="36"/>
      <c r="R5" s="82"/>
      <c r="S5" s="82"/>
      <c r="T5" s="82"/>
      <c r="U5" s="82"/>
      <c r="V5" s="82"/>
      <c r="W5" s="82"/>
      <c r="X5" s="82"/>
      <c r="Y5" s="82"/>
      <c r="Z5" s="82"/>
      <c r="AA5" s="82"/>
      <c r="AB5" s="82"/>
      <c r="AC5" s="82"/>
      <c r="AD5" s="82"/>
      <c r="AE5" s="82"/>
    </row>
    <row r="6" spans="1:31" ht="12" customHeight="1">
      <c r="A6" s="84"/>
      <c r="B6" s="436" t="s">
        <v>79</v>
      </c>
      <c r="C6" s="92">
        <f>'Future CashFlows (10Y)'!M12</f>
        <v>0.22029957420656662</v>
      </c>
      <c r="E6" s="35" t="s">
        <v>8</v>
      </c>
      <c r="F6" s="92">
        <f>'Risk Free Rate &amp; ERP'!C8</f>
        <v>5.5261482151772102E-2</v>
      </c>
      <c r="J6" s="90"/>
      <c r="K6" s="92"/>
      <c r="L6" s="92"/>
      <c r="M6" s="92"/>
      <c r="N6" s="92"/>
      <c r="O6" s="92"/>
      <c r="P6" s="92"/>
      <c r="R6" s="82"/>
      <c r="S6" s="82"/>
      <c r="T6" s="82"/>
      <c r="U6" s="82"/>
      <c r="V6" s="82"/>
      <c r="W6" s="82"/>
      <c r="X6" s="82"/>
      <c r="Y6" s="82"/>
      <c r="Z6" s="82"/>
      <c r="AA6" s="82"/>
      <c r="AB6" s="82"/>
      <c r="AC6" s="82"/>
      <c r="AD6" s="82"/>
      <c r="AE6" s="82"/>
    </row>
    <row r="7" spans="1:31" ht="12" customHeight="1">
      <c r="B7" s="380" t="s">
        <v>48</v>
      </c>
      <c r="C7" s="381">
        <f>C5*(1-C6)</f>
        <v>2779.6173149008996</v>
      </c>
      <c r="E7" s="35" t="s">
        <v>87</v>
      </c>
      <c r="F7" s="100">
        <f ca="1">((_xlfn.PERCENTILE.EXC('Beta Calculation Data'!D6:D78,0.25)/(1+(_xlfn.PERCENTILE.EXC('Beta Calculation Data'!K6:K78,0.25)*(1-'Bottom Up Beta'!C8))))/(1-_xlfn.PERCENTILE.EXC('Beta Calculation Data'!J6:J78,0.25)))*(1+('Bottom Up Beta'!C15*(1-'Bottom Up Beta'!C8)))</f>
        <v>0.74209045658065798</v>
      </c>
      <c r="G7" s="85" t="s">
        <v>173</v>
      </c>
      <c r="J7" s="90"/>
      <c r="M7" s="82"/>
      <c r="N7" s="82"/>
      <c r="O7" s="89"/>
      <c r="P7" s="92"/>
      <c r="R7" s="82"/>
      <c r="S7" s="82"/>
      <c r="T7" s="82"/>
      <c r="U7" s="82"/>
      <c r="V7" s="82"/>
      <c r="W7" s="82"/>
      <c r="X7" s="82"/>
      <c r="Y7" s="82"/>
      <c r="Z7" s="82"/>
      <c r="AA7" s="82"/>
      <c r="AB7" s="82"/>
      <c r="AC7" s="82"/>
      <c r="AD7" s="82"/>
      <c r="AE7" s="82"/>
    </row>
    <row r="8" spans="1:31" ht="12" customHeight="1">
      <c r="A8" s="84"/>
      <c r="B8" s="394" t="s">
        <v>76</v>
      </c>
      <c r="C8" s="558">
        <f>Drivers!C30</f>
        <v>0.02</v>
      </c>
      <c r="E8" s="261" t="s">
        <v>7</v>
      </c>
      <c r="F8" s="338">
        <f ca="1">F5+F7*F6</f>
        <v>7.5329018521332447E-2</v>
      </c>
      <c r="N8" s="82"/>
      <c r="O8" s="82"/>
      <c r="P8" s="82"/>
      <c r="Q8" s="82"/>
      <c r="R8" s="82"/>
      <c r="S8" s="82"/>
      <c r="T8" s="82"/>
      <c r="U8" s="82"/>
      <c r="V8" s="82"/>
      <c r="W8" s="82"/>
      <c r="X8" s="82"/>
      <c r="Y8" s="82"/>
      <c r="Z8" s="82"/>
      <c r="AA8" s="82"/>
      <c r="AB8" s="82"/>
      <c r="AC8" s="82"/>
      <c r="AD8" s="82"/>
      <c r="AE8" s="82"/>
    </row>
    <row r="9" spans="1:31" ht="12" customHeight="1">
      <c r="A9" s="84"/>
      <c r="B9" s="77" t="s">
        <v>77</v>
      </c>
      <c r="C9" s="36">
        <f>'Future CashFlows (10Y)'!M21</f>
        <v>5.8590262079765303E-2</v>
      </c>
      <c r="E9" s="82"/>
      <c r="F9" s="82"/>
      <c r="J9" s="106"/>
      <c r="N9" s="82"/>
      <c r="O9" s="82"/>
      <c r="P9" s="82"/>
      <c r="Q9" s="82"/>
      <c r="R9" s="82"/>
      <c r="S9" s="82"/>
      <c r="T9" s="82"/>
      <c r="U9" s="82"/>
      <c r="V9" s="82"/>
      <c r="W9" s="82"/>
      <c r="X9" s="82"/>
      <c r="Y9" s="82"/>
      <c r="Z9" s="82"/>
      <c r="AA9" s="82"/>
      <c r="AB9" s="82"/>
      <c r="AC9" s="82"/>
      <c r="AD9" s="82"/>
      <c r="AE9" s="82"/>
    </row>
    <row r="10" spans="1:31">
      <c r="A10" s="80"/>
      <c r="B10" s="380" t="s">
        <v>70</v>
      </c>
      <c r="C10" s="435">
        <f>C8/C9</f>
        <v>0.34135365315095917</v>
      </c>
      <c r="E10" s="35" t="s">
        <v>231</v>
      </c>
      <c r="F10" s="63">
        <f>'Cost of Equity, Debt &amp; WACC'!C12</f>
        <v>3.4320000000000003E-2</v>
      </c>
      <c r="J10" s="82"/>
      <c r="N10" s="82"/>
      <c r="O10" s="82"/>
      <c r="P10" s="82"/>
      <c r="Q10" s="82"/>
      <c r="R10" s="82"/>
      <c r="S10" s="82"/>
      <c r="T10" s="82"/>
      <c r="U10" s="82"/>
      <c r="V10" s="82"/>
      <c r="W10" s="82"/>
      <c r="X10" s="82"/>
      <c r="Y10" s="82"/>
      <c r="Z10" s="82"/>
      <c r="AA10" s="82"/>
      <c r="AB10" s="82"/>
      <c r="AC10" s="82"/>
      <c r="AD10" s="82"/>
      <c r="AE10" s="82"/>
    </row>
    <row r="11" spans="1:31" ht="12.75" customHeight="1">
      <c r="A11" s="84"/>
      <c r="B11" s="77" t="s">
        <v>80</v>
      </c>
      <c r="C11" s="377">
        <f>C7*(1-C10)</f>
        <v>1830.7847900978177</v>
      </c>
      <c r="E11" s="35" t="s">
        <v>299</v>
      </c>
      <c r="F11" s="92">
        <f>'Risk Free Rate &amp; ERP'!G20</f>
        <v>1.052535026970741E-2</v>
      </c>
      <c r="I11" s="86"/>
      <c r="J11" s="82"/>
      <c r="N11" s="82"/>
      <c r="O11" s="82"/>
      <c r="P11" s="82"/>
      <c r="Q11" s="82"/>
      <c r="R11" s="82"/>
      <c r="S11" s="82"/>
      <c r="T11" s="82"/>
      <c r="U11" s="82"/>
      <c r="V11" s="82"/>
      <c r="W11" s="82"/>
      <c r="X11" s="82"/>
      <c r="Y11" s="82"/>
      <c r="Z11" s="82"/>
      <c r="AA11" s="82"/>
      <c r="AB11" s="82"/>
      <c r="AC11" s="82"/>
      <c r="AD11" s="82"/>
      <c r="AE11" s="82"/>
    </row>
    <row r="12" spans="1:31">
      <c r="B12" s="260" t="s">
        <v>68</v>
      </c>
      <c r="C12" s="362">
        <f ca="1">C11/(F19-C8)</f>
        <v>36556.642904995526</v>
      </c>
      <c r="E12" s="250" t="s">
        <v>108</v>
      </c>
      <c r="F12" s="92">
        <v>7.4999999999999997E-3</v>
      </c>
      <c r="G12" s="85" t="s">
        <v>207</v>
      </c>
      <c r="I12" s="92"/>
      <c r="J12" s="82"/>
      <c r="K12" s="95"/>
      <c r="L12" s="95"/>
      <c r="M12" s="95"/>
      <c r="N12" s="95"/>
      <c r="O12" s="95"/>
      <c r="P12" s="95"/>
      <c r="Q12" s="82"/>
      <c r="R12" s="82"/>
      <c r="S12" s="82"/>
      <c r="T12" s="82"/>
      <c r="U12" s="82"/>
      <c r="V12" s="82"/>
      <c r="W12" s="82"/>
      <c r="X12" s="82"/>
      <c r="Y12" s="82"/>
      <c r="Z12" s="82"/>
      <c r="AA12" s="82"/>
      <c r="AB12" s="82"/>
      <c r="AC12" s="82"/>
      <c r="AD12" s="82"/>
      <c r="AE12" s="82"/>
    </row>
    <row r="13" spans="1:31" ht="12" customHeight="1">
      <c r="A13" s="84"/>
      <c r="D13" s="2"/>
      <c r="E13" s="261" t="s">
        <v>152</v>
      </c>
      <c r="F13" s="338">
        <f>F10+F11+F12</f>
        <v>5.2345350269707415E-2</v>
      </c>
      <c r="I13" s="92"/>
      <c r="J13" s="82"/>
      <c r="N13" s="82"/>
      <c r="O13" s="82"/>
      <c r="P13" s="82"/>
      <c r="Q13" s="82"/>
      <c r="R13" s="82"/>
      <c r="S13" s="82"/>
      <c r="T13" s="82"/>
      <c r="U13" s="82"/>
      <c r="V13" s="82"/>
      <c r="W13" s="82"/>
      <c r="X13" s="82"/>
      <c r="Y13" s="82"/>
      <c r="Z13" s="82"/>
      <c r="AA13" s="82"/>
      <c r="AB13" s="82"/>
      <c r="AC13" s="82"/>
      <c r="AD13" s="82"/>
      <c r="AE13" s="82"/>
    </row>
    <row r="14" spans="1:31">
      <c r="D14" s="2"/>
      <c r="E14" s="2"/>
      <c r="F14" s="3"/>
      <c r="I14" s="92"/>
      <c r="J14" s="82"/>
      <c r="N14" s="82"/>
      <c r="O14" s="82"/>
      <c r="P14" s="82"/>
      <c r="Q14" s="82"/>
      <c r="R14" s="82"/>
      <c r="S14" s="82"/>
      <c r="T14" s="82"/>
      <c r="U14" s="82"/>
      <c r="V14" s="82"/>
      <c r="W14" s="82"/>
      <c r="X14" s="82"/>
      <c r="Y14" s="82"/>
      <c r="Z14" s="82"/>
      <c r="AA14" s="82"/>
      <c r="AB14" s="82"/>
      <c r="AC14" s="82"/>
      <c r="AD14" s="82"/>
      <c r="AE14" s="82"/>
    </row>
    <row r="15" spans="1:31">
      <c r="D15" s="5"/>
      <c r="E15" s="80" t="s">
        <v>172</v>
      </c>
      <c r="F15" s="438">
        <f>'Beta Calculation Data'!K79</f>
        <v>0.17932263814616756</v>
      </c>
      <c r="I15" s="92"/>
      <c r="J15" s="82"/>
      <c r="N15" s="82"/>
      <c r="O15" s="82"/>
      <c r="P15" s="82"/>
      <c r="Q15" s="82"/>
      <c r="R15" s="82"/>
      <c r="S15" s="82"/>
      <c r="T15" s="82"/>
      <c r="U15" s="82"/>
      <c r="V15" s="82"/>
      <c r="W15" s="82"/>
      <c r="X15" s="82"/>
      <c r="Y15" s="82"/>
      <c r="Z15" s="82"/>
      <c r="AA15" s="82"/>
      <c r="AB15" s="82"/>
      <c r="AC15" s="82"/>
      <c r="AD15" s="82"/>
      <c r="AE15" s="82"/>
    </row>
    <row r="16" spans="1:31">
      <c r="D16" s="20"/>
      <c r="I16" s="92"/>
      <c r="J16" s="82"/>
      <c r="N16" s="82"/>
      <c r="O16" s="82"/>
      <c r="P16" s="82"/>
      <c r="Q16" s="82"/>
      <c r="R16" s="82"/>
      <c r="S16" s="82"/>
      <c r="T16" s="82"/>
      <c r="U16" s="82"/>
      <c r="V16" s="82"/>
      <c r="W16" s="82"/>
      <c r="X16" s="82"/>
      <c r="Y16" s="82"/>
      <c r="Z16" s="82"/>
      <c r="AA16" s="82"/>
      <c r="AB16" s="82"/>
      <c r="AC16" s="82"/>
      <c r="AD16" s="82"/>
      <c r="AE16" s="82"/>
    </row>
    <row r="17" spans="1:31">
      <c r="D17" s="5"/>
      <c r="E17" s="80" t="s">
        <v>81</v>
      </c>
      <c r="F17" s="16">
        <f>F15/(1+F15)</f>
        <v>0.15205562273276907</v>
      </c>
      <c r="G17" s="85" t="s">
        <v>125</v>
      </c>
      <c r="K17" s="82"/>
      <c r="N17" s="82"/>
      <c r="O17" s="82"/>
      <c r="P17" s="82"/>
      <c r="Q17" s="82"/>
      <c r="R17" s="82"/>
      <c r="S17" s="82"/>
      <c r="T17" s="82"/>
      <c r="U17" s="82"/>
      <c r="V17" s="82"/>
      <c r="W17" s="82"/>
      <c r="X17" s="82"/>
      <c r="Y17" s="82"/>
      <c r="Z17" s="82"/>
      <c r="AA17" s="82"/>
      <c r="AB17" s="82"/>
      <c r="AC17" s="82"/>
      <c r="AD17" s="82"/>
      <c r="AE17" s="82"/>
    </row>
    <row r="18" spans="1:31">
      <c r="A18" s="84"/>
      <c r="D18" s="5"/>
      <c r="E18" s="80" t="s">
        <v>82</v>
      </c>
      <c r="F18" s="113">
        <f>1-F17</f>
        <v>0.84794437726723093</v>
      </c>
      <c r="G18" s="70"/>
      <c r="K18" s="82"/>
      <c r="L18" s="82"/>
      <c r="M18" s="82"/>
      <c r="N18" s="82"/>
      <c r="O18" s="82"/>
      <c r="P18" s="82"/>
      <c r="Q18" s="82"/>
      <c r="R18" s="82"/>
      <c r="S18" s="82"/>
      <c r="T18" s="82"/>
      <c r="U18" s="82"/>
      <c r="V18" s="82"/>
      <c r="W18" s="82"/>
      <c r="X18" s="82"/>
      <c r="Y18" s="82"/>
      <c r="Z18" s="82"/>
      <c r="AA18" s="82"/>
      <c r="AB18" s="82"/>
      <c r="AC18" s="82"/>
      <c r="AD18" s="82"/>
      <c r="AE18" s="82"/>
    </row>
    <row r="19" spans="1:31">
      <c r="B19" s="19"/>
      <c r="C19" s="39"/>
      <c r="D19" s="5"/>
      <c r="E19" s="110" t="s">
        <v>83</v>
      </c>
      <c r="F19" s="109">
        <f ca="1">(F8*F18)+(F13*(1-C6)*F17)</f>
        <v>7.0080769037127261E-2</v>
      </c>
      <c r="I19" s="92"/>
      <c r="J19" s="82"/>
      <c r="K19" s="82"/>
      <c r="L19" s="82"/>
      <c r="M19" s="82"/>
      <c r="N19" s="82"/>
      <c r="O19" s="82"/>
      <c r="P19" s="82"/>
      <c r="Q19" s="82"/>
      <c r="R19" s="82"/>
      <c r="S19" s="82"/>
      <c r="T19" s="82"/>
      <c r="U19" s="82"/>
      <c r="V19" s="82"/>
      <c r="W19" s="82"/>
      <c r="X19" s="82"/>
      <c r="Y19" s="82"/>
      <c r="Z19" s="82"/>
      <c r="AA19" s="82"/>
      <c r="AB19" s="82"/>
      <c r="AC19" s="82"/>
      <c r="AD19" s="82"/>
      <c r="AE19" s="82"/>
    </row>
    <row r="20" spans="1:31">
      <c r="A20" s="84"/>
      <c r="B20" s="3"/>
      <c r="C20" s="3"/>
      <c r="D20" s="5"/>
      <c r="I20" s="92"/>
      <c r="J20" s="82"/>
      <c r="K20" s="82"/>
      <c r="L20" s="82"/>
      <c r="M20" s="82"/>
      <c r="N20" s="82"/>
      <c r="O20" s="82"/>
      <c r="P20" s="82"/>
      <c r="Q20" s="82"/>
      <c r="R20" s="82"/>
      <c r="S20" s="82"/>
      <c r="T20" s="82"/>
      <c r="U20" s="82"/>
      <c r="V20" s="82"/>
      <c r="W20" s="82"/>
      <c r="X20" s="82"/>
      <c r="Y20" s="82"/>
      <c r="Z20" s="82"/>
      <c r="AA20" s="82"/>
      <c r="AB20" s="82"/>
      <c r="AC20" s="82"/>
      <c r="AD20" s="82"/>
      <c r="AE20" s="82"/>
    </row>
    <row r="21" spans="1:31">
      <c r="B21" s="38"/>
      <c r="C21" s="3"/>
      <c r="D21" s="5"/>
      <c r="I21" s="93"/>
      <c r="J21" s="82"/>
      <c r="K21" s="82"/>
      <c r="L21" s="82"/>
      <c r="M21" s="82"/>
      <c r="N21" s="82"/>
      <c r="O21" s="82"/>
      <c r="P21" s="82"/>
      <c r="Q21" s="82"/>
      <c r="R21" s="82"/>
      <c r="S21" s="82"/>
      <c r="T21" s="82"/>
      <c r="U21" s="82"/>
      <c r="V21" s="82"/>
      <c r="W21" s="82"/>
      <c r="X21" s="82"/>
      <c r="Y21" s="82"/>
      <c r="Z21" s="82"/>
      <c r="AA21" s="82"/>
      <c r="AB21" s="82"/>
      <c r="AC21" s="82"/>
      <c r="AD21" s="82"/>
      <c r="AE21" s="82"/>
    </row>
    <row r="22" spans="1:31">
      <c r="B22" s="2"/>
      <c r="C22" s="2"/>
      <c r="D22" s="2"/>
      <c r="K22" s="82"/>
      <c r="L22" s="82"/>
      <c r="M22" s="82"/>
      <c r="N22" s="82"/>
      <c r="O22" s="82"/>
      <c r="P22" s="82"/>
      <c r="Q22" s="82"/>
      <c r="R22" s="82"/>
      <c r="S22" s="82"/>
      <c r="T22" s="82"/>
      <c r="U22" s="82"/>
      <c r="V22" s="82"/>
      <c r="W22" s="82"/>
      <c r="X22" s="82"/>
      <c r="Y22" s="82"/>
      <c r="Z22" s="82"/>
      <c r="AA22" s="82"/>
      <c r="AB22" s="82"/>
      <c r="AC22" s="82"/>
      <c r="AD22" s="82"/>
      <c r="AE22" s="82"/>
    </row>
    <row r="23" spans="1:31" ht="12" customHeight="1">
      <c r="B23" s="15"/>
      <c r="C23" s="3"/>
      <c r="D23" s="5"/>
      <c r="K23" s="82"/>
      <c r="L23" s="82"/>
      <c r="M23" s="82"/>
      <c r="N23" s="82"/>
      <c r="O23" s="82"/>
      <c r="P23" s="82"/>
      <c r="Q23" s="82"/>
      <c r="R23" s="82"/>
      <c r="S23" s="82"/>
      <c r="T23" s="82"/>
      <c r="U23" s="82"/>
      <c r="V23" s="82"/>
      <c r="W23" s="82"/>
      <c r="X23" s="82"/>
      <c r="Y23" s="82"/>
      <c r="Z23" s="82"/>
      <c r="AA23" s="82"/>
      <c r="AB23" s="82"/>
      <c r="AC23" s="82"/>
      <c r="AD23" s="82"/>
      <c r="AE23" s="82"/>
    </row>
    <row r="24" spans="1:31">
      <c r="B24" s="3"/>
      <c r="C24" s="3"/>
      <c r="D24" s="5"/>
      <c r="K24" s="82"/>
      <c r="L24" s="82"/>
      <c r="M24" s="82"/>
      <c r="N24" s="82"/>
      <c r="O24" s="82"/>
      <c r="P24" s="82"/>
      <c r="Q24" s="82"/>
      <c r="R24" s="82"/>
      <c r="S24" s="82"/>
      <c r="T24" s="82"/>
      <c r="U24" s="82"/>
      <c r="V24" s="82"/>
      <c r="W24" s="82"/>
      <c r="X24" s="82"/>
      <c r="Y24" s="82"/>
      <c r="Z24" s="82"/>
      <c r="AA24" s="82"/>
      <c r="AB24" s="82"/>
      <c r="AC24" s="82"/>
      <c r="AD24" s="82"/>
      <c r="AE24" s="82"/>
    </row>
    <row r="25" spans="1:31">
      <c r="D25" s="5"/>
      <c r="K25" s="82"/>
      <c r="L25" s="82"/>
      <c r="M25" s="82"/>
      <c r="N25" s="82"/>
      <c r="O25" s="82"/>
      <c r="P25" s="82"/>
      <c r="Q25" s="82"/>
      <c r="R25" s="82"/>
      <c r="S25" s="82"/>
      <c r="T25" s="82"/>
      <c r="U25" s="82"/>
      <c r="V25" s="82"/>
      <c r="W25" s="82"/>
      <c r="X25" s="82"/>
      <c r="Y25" s="82"/>
      <c r="Z25" s="82"/>
      <c r="AA25" s="82"/>
      <c r="AB25" s="82"/>
      <c r="AC25" s="82"/>
      <c r="AD25" s="82"/>
      <c r="AE25" s="82"/>
    </row>
    <row r="26" spans="1:31">
      <c r="D26" s="5"/>
      <c r="K26" s="82"/>
      <c r="L26" s="82"/>
      <c r="M26" s="82"/>
      <c r="N26" s="82"/>
      <c r="O26" s="82"/>
      <c r="P26" s="82"/>
      <c r="Q26" s="82"/>
      <c r="R26" s="82"/>
      <c r="S26" s="82"/>
      <c r="T26" s="82"/>
      <c r="U26" s="82"/>
      <c r="V26" s="82"/>
      <c r="W26" s="82"/>
      <c r="X26" s="82"/>
      <c r="Y26" s="82"/>
      <c r="Z26" s="82"/>
      <c r="AA26" s="82"/>
      <c r="AB26" s="82"/>
      <c r="AC26" s="82"/>
      <c r="AD26" s="82"/>
      <c r="AE26" s="82"/>
    </row>
    <row r="27" spans="1:31">
      <c r="D27" s="20"/>
      <c r="K27" s="82"/>
      <c r="L27" s="82"/>
      <c r="M27" s="82"/>
      <c r="N27" s="82"/>
      <c r="O27" s="82"/>
      <c r="P27" s="82"/>
      <c r="Q27" s="82"/>
      <c r="R27" s="82"/>
      <c r="S27" s="82"/>
      <c r="T27" s="82"/>
      <c r="U27" s="82"/>
      <c r="V27" s="82"/>
      <c r="W27" s="82"/>
      <c r="X27" s="82"/>
      <c r="Y27" s="82"/>
      <c r="Z27" s="82"/>
      <c r="AA27" s="82"/>
      <c r="AB27" s="82"/>
      <c r="AC27" s="82"/>
      <c r="AD27" s="82"/>
      <c r="AE27" s="82"/>
    </row>
    <row r="28" spans="1:31">
      <c r="D28" s="5"/>
      <c r="K28" s="82"/>
      <c r="L28" s="82"/>
      <c r="M28" s="82"/>
      <c r="N28" s="82"/>
      <c r="O28" s="82"/>
      <c r="P28" s="82"/>
      <c r="Q28" s="82"/>
      <c r="R28" s="82"/>
      <c r="S28" s="82"/>
      <c r="T28" s="82"/>
      <c r="U28" s="82"/>
      <c r="V28" s="82"/>
      <c r="W28" s="82"/>
      <c r="X28" s="82"/>
      <c r="Y28" s="82"/>
      <c r="Z28" s="82"/>
      <c r="AA28" s="82"/>
      <c r="AB28" s="82"/>
      <c r="AC28" s="82"/>
      <c r="AD28" s="82"/>
      <c r="AE28" s="82"/>
    </row>
    <row r="29" spans="1:31">
      <c r="D29" s="5"/>
      <c r="J29" s="82"/>
      <c r="K29" s="82"/>
      <c r="L29" s="82"/>
      <c r="M29" s="82"/>
      <c r="N29" s="82"/>
      <c r="O29" s="82"/>
      <c r="P29" s="82"/>
      <c r="Q29" s="82"/>
      <c r="R29" s="82"/>
      <c r="S29" s="82"/>
      <c r="T29" s="82"/>
      <c r="U29" s="82"/>
      <c r="V29" s="82"/>
      <c r="W29" s="82"/>
      <c r="X29" s="82"/>
      <c r="Y29" s="82"/>
      <c r="Z29" s="82"/>
      <c r="AA29" s="82"/>
      <c r="AB29" s="82"/>
      <c r="AC29" s="82"/>
      <c r="AD29" s="82"/>
      <c r="AE29" s="82"/>
    </row>
    <row r="30" spans="1:31" ht="14.25" customHeight="1">
      <c r="D30" s="5"/>
      <c r="J30" s="82"/>
      <c r="K30" s="82"/>
      <c r="L30" s="82"/>
      <c r="M30" s="82"/>
      <c r="N30" s="82"/>
      <c r="O30" s="82"/>
      <c r="P30" s="82"/>
      <c r="Q30" s="82"/>
      <c r="R30" s="82"/>
      <c r="S30" s="82"/>
      <c r="T30" s="82"/>
      <c r="U30" s="82"/>
      <c r="V30" s="82"/>
      <c r="W30" s="82"/>
      <c r="X30" s="82"/>
      <c r="Y30" s="82"/>
      <c r="Z30" s="82"/>
      <c r="AA30" s="82"/>
      <c r="AB30" s="82"/>
      <c r="AC30" s="82"/>
      <c r="AD30" s="82"/>
      <c r="AE30" s="82"/>
    </row>
    <row r="31" spans="1:31">
      <c r="B31" s="19"/>
      <c r="C31" s="19"/>
      <c r="D31" s="20"/>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row>
    <row r="32" spans="1:31">
      <c r="B32" s="38"/>
      <c r="C32" s="3"/>
      <c r="D32" s="3"/>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row>
    <row r="33" spans="6:31">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row>
    <row r="34" spans="6:31">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row>
    <row r="35" spans="6:31">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row>
    <row r="36" spans="6:31">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row>
    <row r="37" spans="6:31">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row>
    <row r="38" spans="6:31">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104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77" customWidth="1"/>
    <col min="2" max="2" width="31.140625" style="77" customWidth="1"/>
    <col min="3" max="3" width="13.140625" style="77" customWidth="1"/>
    <col min="4" max="4" width="4.28515625" style="77" customWidth="1"/>
    <col min="5" max="5" width="10.7109375" style="77" customWidth="1"/>
    <col min="6" max="6" width="16.85546875" style="77" customWidth="1"/>
    <col min="7" max="7" width="10.140625" style="77" customWidth="1" collapsed="1"/>
    <col min="8" max="9" width="10.42578125" style="77" customWidth="1"/>
    <col min="10" max="10" width="9.140625" style="77" customWidth="1"/>
    <col min="11" max="11" width="9" style="77" customWidth="1"/>
    <col min="12" max="12" width="9.85546875" style="77" customWidth="1"/>
    <col min="13" max="26" width="9.140625" style="77" customWidth="1"/>
    <col min="27" max="27" width="9.28515625" style="77" customWidth="1"/>
    <col min="28" max="28" width="9.42578125" style="77" customWidth="1"/>
    <col min="29" max="29" width="10" style="77" customWidth="1"/>
    <col min="30" max="30" width="11.42578125" style="77" customWidth="1"/>
    <col min="31" max="31" width="9.42578125" style="77" bestFit="1" customWidth="1" collapsed="1"/>
    <col min="32" max="16384" width="9.140625" style="77"/>
  </cols>
  <sheetData>
    <row r="1" spans="1:32" s="76" customFormat="1" ht="15" customHeight="1">
      <c r="B1" s="15" t="s">
        <v>84</v>
      </c>
      <c r="C1" s="75"/>
      <c r="D1" s="75"/>
      <c r="E1" s="75"/>
      <c r="F1" s="75"/>
      <c r="G1" s="75"/>
      <c r="H1" s="75"/>
      <c r="I1" s="75"/>
      <c r="J1" s="75"/>
      <c r="K1" s="75"/>
      <c r="L1" s="75"/>
    </row>
    <row r="2" spans="1:32" ht="12" customHeight="1">
      <c r="C2" s="89"/>
    </row>
    <row r="3" spans="1:32" ht="12" customHeight="1">
      <c r="A3" s="79"/>
      <c r="B3" s="247" t="s">
        <v>89</v>
      </c>
      <c r="C3" s="247"/>
      <c r="D3" s="111"/>
      <c r="E3" s="86"/>
      <c r="F3" s="78"/>
      <c r="G3" s="95"/>
      <c r="H3" s="95"/>
      <c r="I3" s="95"/>
      <c r="J3" s="95"/>
      <c r="K3" s="95"/>
      <c r="L3" s="95"/>
      <c r="M3" s="95"/>
      <c r="N3" s="95"/>
      <c r="O3" s="95"/>
      <c r="P3" s="95"/>
      <c r="Q3" s="95"/>
    </row>
    <row r="4" spans="1:32" ht="12" customHeight="1" thickBot="1">
      <c r="A4" s="84"/>
      <c r="B4" s="349" t="str">
        <f>Drivers!$C$5&amp;" in mil"</f>
        <v>$ in mil</v>
      </c>
      <c r="C4" s="414"/>
      <c r="D4" s="114"/>
      <c r="E4" s="116"/>
      <c r="F4" s="115"/>
      <c r="G4" s="112"/>
      <c r="H4" s="112"/>
      <c r="I4" s="112"/>
      <c r="J4" s="112"/>
      <c r="K4" s="112"/>
      <c r="L4" s="112"/>
      <c r="M4" s="112"/>
      <c r="N4" s="112"/>
      <c r="O4" s="112"/>
      <c r="P4" s="112"/>
      <c r="Q4" s="78"/>
      <c r="S4" s="81"/>
      <c r="T4" s="81"/>
      <c r="U4" s="81"/>
      <c r="V4" s="81"/>
      <c r="AA4" s="81"/>
    </row>
    <row r="5" spans="1:32" ht="12" customHeight="1">
      <c r="A5" s="84"/>
      <c r="B5" s="77" t="s">
        <v>85</v>
      </c>
      <c r="C5" s="359">
        <f>'Balance Sheet'!G6</f>
        <v>14614</v>
      </c>
      <c r="D5" s="114"/>
      <c r="E5" s="114"/>
      <c r="F5" s="114"/>
      <c r="G5" s="36"/>
      <c r="H5" s="36"/>
      <c r="I5" s="36"/>
      <c r="J5" s="92"/>
      <c r="K5" s="36"/>
      <c r="L5" s="36"/>
      <c r="M5" s="36"/>
      <c r="N5" s="36"/>
      <c r="O5" s="36"/>
      <c r="P5" s="36"/>
      <c r="Q5" s="36"/>
      <c r="S5" s="82"/>
      <c r="T5" s="82"/>
      <c r="U5" s="82"/>
      <c r="V5" s="82"/>
      <c r="W5" s="82"/>
      <c r="X5" s="82"/>
      <c r="Y5" s="82"/>
      <c r="Z5" s="82"/>
      <c r="AA5" s="82"/>
      <c r="AB5" s="82"/>
      <c r="AC5" s="82"/>
      <c r="AD5" s="82"/>
      <c r="AE5" s="82"/>
      <c r="AF5" s="82"/>
    </row>
    <row r="6" spans="1:32" ht="12" customHeight="1">
      <c r="A6" s="84"/>
      <c r="B6" s="77" t="s">
        <v>316</v>
      </c>
      <c r="C6" s="359">
        <f>'Balance Sheet'!G7</f>
        <v>2606</v>
      </c>
      <c r="D6" s="114"/>
      <c r="E6" s="114"/>
      <c r="F6" s="114"/>
      <c r="G6" s="92"/>
      <c r="H6" s="92"/>
      <c r="I6" s="92"/>
      <c r="J6" s="92"/>
      <c r="K6" s="92"/>
      <c r="L6" s="92"/>
      <c r="M6" s="92"/>
      <c r="N6" s="92"/>
      <c r="O6" s="92"/>
      <c r="P6" s="92"/>
      <c r="Q6" s="92"/>
      <c r="S6" s="82"/>
      <c r="T6" s="82"/>
      <c r="U6" s="82"/>
      <c r="V6" s="82"/>
      <c r="W6" s="82"/>
      <c r="X6" s="82"/>
      <c r="Y6" s="82"/>
      <c r="Z6" s="82"/>
      <c r="AA6" s="82"/>
      <c r="AB6" s="82"/>
      <c r="AC6" s="82"/>
      <c r="AD6" s="82"/>
      <c r="AE6" s="82"/>
      <c r="AF6" s="82"/>
    </row>
    <row r="7" spans="1:32" ht="12" customHeight="1">
      <c r="B7" s="382" t="s">
        <v>89</v>
      </c>
      <c r="C7" s="384">
        <f>SUM(C5:C6)</f>
        <v>17220</v>
      </c>
      <c r="D7" s="114"/>
      <c r="E7" s="114"/>
      <c r="F7" s="114"/>
      <c r="G7" s="92"/>
      <c r="I7" s="80"/>
      <c r="J7" s="90"/>
      <c r="N7" s="82"/>
      <c r="O7" s="82"/>
      <c r="P7" s="89"/>
      <c r="Q7" s="92"/>
      <c r="S7" s="82"/>
      <c r="T7" s="82"/>
      <c r="U7" s="82"/>
      <c r="V7" s="82"/>
      <c r="W7" s="82"/>
      <c r="X7" s="82"/>
      <c r="Y7" s="82"/>
      <c r="Z7" s="82"/>
      <c r="AA7" s="82"/>
      <c r="AB7" s="82"/>
      <c r="AC7" s="82"/>
      <c r="AD7" s="82"/>
      <c r="AE7" s="82"/>
      <c r="AF7" s="82"/>
    </row>
    <row r="8" spans="1:32" ht="12" customHeight="1">
      <c r="A8" s="84"/>
      <c r="B8" s="80"/>
      <c r="C8" s="114"/>
      <c r="D8" s="114"/>
      <c r="E8" s="114"/>
      <c r="F8" s="114"/>
      <c r="G8" s="107"/>
      <c r="H8" s="92"/>
      <c r="J8" s="104"/>
      <c r="K8" s="105"/>
      <c r="O8" s="82"/>
      <c r="P8" s="82"/>
      <c r="Q8" s="82"/>
      <c r="R8" s="82"/>
      <c r="S8" s="82"/>
      <c r="T8" s="82"/>
      <c r="U8" s="82"/>
      <c r="V8" s="82"/>
      <c r="W8" s="82"/>
      <c r="X8" s="82"/>
      <c r="Y8" s="82"/>
      <c r="Z8" s="82"/>
      <c r="AA8" s="82"/>
      <c r="AB8" s="82"/>
      <c r="AC8" s="82"/>
      <c r="AD8" s="82"/>
      <c r="AE8" s="82"/>
      <c r="AF8" s="82"/>
    </row>
    <row r="9" spans="1:32" ht="12" customHeight="1">
      <c r="A9" s="84"/>
      <c r="B9" s="77" t="s">
        <v>327</v>
      </c>
      <c r="C9" s="70">
        <f>'Expected Growth Rate'!C9</f>
        <v>-9.323017990279539E-2</v>
      </c>
      <c r="D9" s="114"/>
      <c r="E9" s="114"/>
      <c r="F9" s="114"/>
      <c r="G9" s="107"/>
      <c r="H9" s="92"/>
      <c r="J9" s="80"/>
      <c r="K9" s="90"/>
      <c r="O9" s="82"/>
      <c r="P9" s="82"/>
      <c r="Q9" s="82"/>
      <c r="R9" s="82"/>
      <c r="S9" s="82"/>
      <c r="T9" s="82"/>
      <c r="U9" s="82"/>
      <c r="V9" s="82"/>
      <c r="W9" s="82"/>
      <c r="X9" s="82"/>
      <c r="Y9" s="82"/>
      <c r="Z9" s="82"/>
      <c r="AA9" s="82"/>
      <c r="AB9" s="82"/>
      <c r="AC9" s="82"/>
      <c r="AD9" s="82"/>
      <c r="AE9" s="82"/>
      <c r="AF9" s="82"/>
    </row>
    <row r="10" spans="1:32">
      <c r="A10" s="80"/>
      <c r="B10" s="77" t="s">
        <v>6</v>
      </c>
      <c r="C10" s="70">
        <f ca="1">'Cost of Equity, Debt &amp; WACC'!C29</f>
        <v>9.6211215834147629E-2</v>
      </c>
      <c r="D10" s="114"/>
      <c r="E10" s="114"/>
      <c r="F10" s="114"/>
      <c r="G10" s="95"/>
      <c r="H10" s="95"/>
      <c r="I10" s="95"/>
      <c r="J10" s="95"/>
      <c r="K10" s="95"/>
      <c r="O10" s="82"/>
      <c r="P10" s="82"/>
      <c r="Q10" s="82"/>
      <c r="R10" s="82"/>
      <c r="S10" s="82"/>
      <c r="T10" s="82"/>
      <c r="U10" s="82"/>
      <c r="V10" s="82"/>
      <c r="W10" s="82"/>
      <c r="X10" s="82"/>
      <c r="Y10" s="82"/>
      <c r="Z10" s="82"/>
      <c r="AA10" s="82"/>
      <c r="AB10" s="82"/>
      <c r="AC10" s="82"/>
      <c r="AD10" s="82"/>
      <c r="AE10" s="82"/>
      <c r="AF10" s="82"/>
    </row>
    <row r="11" spans="1:32" ht="12.75" customHeight="1">
      <c r="A11" s="84"/>
      <c r="B11" s="416" t="s">
        <v>401</v>
      </c>
      <c r="C11" s="439">
        <f ca="1">C9-C10</f>
        <v>-0.18944139573694302</v>
      </c>
      <c r="D11" s="114"/>
      <c r="E11" s="114"/>
      <c r="F11" s="114"/>
      <c r="G11" s="51"/>
      <c r="K11" s="90"/>
      <c r="O11" s="82"/>
      <c r="P11" s="82"/>
      <c r="Q11" s="82"/>
      <c r="R11" s="82"/>
      <c r="S11" s="82"/>
      <c r="T11" s="82"/>
      <c r="U11" s="82"/>
      <c r="V11" s="82"/>
      <c r="W11" s="82"/>
      <c r="X11" s="82"/>
      <c r="Y11" s="82"/>
      <c r="Z11" s="82"/>
      <c r="AA11" s="82"/>
      <c r="AB11" s="82"/>
      <c r="AC11" s="82"/>
      <c r="AD11" s="82"/>
      <c r="AE11" s="82"/>
      <c r="AF11" s="82"/>
    </row>
    <row r="12" spans="1:32">
      <c r="B12" s="80"/>
      <c r="C12" s="114"/>
      <c r="D12" s="114"/>
      <c r="E12" s="114"/>
      <c r="F12" s="114"/>
      <c r="G12" s="51"/>
      <c r="K12" s="90"/>
      <c r="L12" s="95"/>
      <c r="M12" s="95"/>
      <c r="N12" s="95"/>
      <c r="O12" s="95"/>
      <c r="P12" s="95"/>
      <c r="Q12" s="95"/>
      <c r="R12" s="82"/>
      <c r="S12" s="82"/>
      <c r="T12" s="82"/>
      <c r="U12" s="82"/>
      <c r="V12" s="82"/>
      <c r="W12" s="82"/>
      <c r="X12" s="82"/>
      <c r="Y12" s="82"/>
      <c r="Z12" s="82"/>
      <c r="AA12" s="82"/>
      <c r="AB12" s="82"/>
      <c r="AC12" s="82"/>
      <c r="AD12" s="82"/>
      <c r="AE12" s="82"/>
      <c r="AF12" s="82"/>
    </row>
    <row r="13" spans="1:32" ht="12" customHeight="1">
      <c r="A13" s="84"/>
      <c r="B13" s="354" t="s">
        <v>402</v>
      </c>
      <c r="C13" s="365">
        <f ca="1">C7*(1+C11)</f>
        <v>13957.819165409843</v>
      </c>
      <c r="D13" s="114"/>
      <c r="E13" s="114"/>
      <c r="F13" s="114"/>
      <c r="G13" s="108"/>
      <c r="H13" s="85"/>
      <c r="K13" s="90"/>
      <c r="O13" s="82"/>
      <c r="P13" s="82"/>
      <c r="Q13" s="82"/>
      <c r="R13" s="82"/>
      <c r="S13" s="82"/>
      <c r="T13" s="82"/>
      <c r="U13" s="82"/>
      <c r="V13" s="82"/>
      <c r="W13" s="82"/>
      <c r="X13" s="82"/>
      <c r="Y13" s="82"/>
      <c r="Z13" s="82"/>
      <c r="AA13" s="82"/>
      <c r="AB13" s="82"/>
      <c r="AC13" s="82"/>
      <c r="AD13" s="82"/>
      <c r="AE13" s="82"/>
      <c r="AF13" s="82"/>
    </row>
    <row r="14" spans="1:32">
      <c r="C14" s="114"/>
      <c r="D14" s="114"/>
      <c r="E14" s="114"/>
      <c r="F14" s="114"/>
      <c r="G14" s="3"/>
      <c r="O14" s="82"/>
      <c r="P14" s="82"/>
      <c r="Q14" s="82"/>
      <c r="R14" s="82"/>
      <c r="S14" s="82"/>
      <c r="T14" s="82"/>
      <c r="U14" s="82"/>
      <c r="V14" s="82"/>
      <c r="W14" s="82"/>
      <c r="X14" s="82"/>
      <c r="Y14" s="82"/>
      <c r="Z14" s="82"/>
      <c r="AA14" s="82"/>
      <c r="AB14" s="82"/>
      <c r="AC14" s="82"/>
      <c r="AD14" s="82"/>
      <c r="AE14" s="82"/>
      <c r="AF14" s="82"/>
    </row>
    <row r="15" spans="1:32">
      <c r="C15" s="114"/>
      <c r="D15" s="114"/>
      <c r="E15" s="114"/>
      <c r="F15" s="114"/>
      <c r="G15" s="39"/>
      <c r="K15" s="106"/>
      <c r="O15" s="82"/>
      <c r="P15" s="82"/>
      <c r="Q15" s="82"/>
      <c r="R15" s="82"/>
      <c r="S15" s="82"/>
      <c r="T15" s="82"/>
      <c r="U15" s="82"/>
      <c r="V15" s="82"/>
      <c r="W15" s="82"/>
      <c r="X15" s="82"/>
      <c r="Y15" s="82"/>
      <c r="Z15" s="82"/>
      <c r="AA15" s="82"/>
      <c r="AB15" s="82"/>
      <c r="AC15" s="82"/>
      <c r="AD15" s="82"/>
      <c r="AE15" s="82"/>
      <c r="AF15" s="82"/>
    </row>
    <row r="16" spans="1:32">
      <c r="D16" s="114"/>
      <c r="E16" s="114"/>
      <c r="F16" s="114"/>
      <c r="K16" s="82"/>
      <c r="O16" s="82"/>
      <c r="P16" s="82"/>
      <c r="Q16" s="82"/>
      <c r="R16" s="82"/>
      <c r="S16" s="82"/>
      <c r="T16" s="82"/>
      <c r="U16" s="82"/>
      <c r="V16" s="82"/>
      <c r="W16" s="82"/>
      <c r="X16" s="82"/>
      <c r="Y16" s="82"/>
      <c r="Z16" s="82"/>
      <c r="AA16" s="82"/>
      <c r="AB16" s="82"/>
      <c r="AC16" s="82"/>
      <c r="AD16" s="82"/>
      <c r="AE16" s="82"/>
      <c r="AF16" s="82"/>
    </row>
    <row r="17" spans="1:32">
      <c r="D17" s="114"/>
      <c r="E17" s="114"/>
      <c r="F17" s="114"/>
      <c r="G17" s="55"/>
      <c r="J17" s="86"/>
      <c r="K17" s="82"/>
      <c r="L17" s="82"/>
      <c r="O17" s="82"/>
      <c r="P17" s="82"/>
      <c r="Q17" s="82"/>
      <c r="R17" s="82"/>
      <c r="S17" s="82"/>
      <c r="T17" s="82"/>
      <c r="U17" s="82"/>
      <c r="V17" s="82"/>
      <c r="W17" s="82"/>
      <c r="X17" s="82"/>
      <c r="Y17" s="82"/>
      <c r="Z17" s="82"/>
      <c r="AA17" s="82"/>
      <c r="AB17" s="82"/>
      <c r="AC17" s="82"/>
      <c r="AD17" s="82"/>
      <c r="AE17" s="82"/>
      <c r="AF17" s="82"/>
    </row>
    <row r="18" spans="1:32">
      <c r="A18" s="84"/>
      <c r="D18" s="114"/>
      <c r="E18" s="114"/>
      <c r="F18" s="114"/>
      <c r="G18" s="108"/>
      <c r="J18" s="92"/>
      <c r="K18" s="82"/>
      <c r="L18" s="82"/>
      <c r="M18" s="82"/>
      <c r="N18" s="82"/>
      <c r="O18" s="82"/>
      <c r="P18" s="82"/>
      <c r="Q18" s="82"/>
      <c r="R18" s="82"/>
      <c r="S18" s="82"/>
      <c r="T18" s="82"/>
      <c r="U18" s="82"/>
      <c r="V18" s="82"/>
      <c r="W18" s="82"/>
      <c r="X18" s="82"/>
      <c r="Y18" s="82"/>
      <c r="Z18" s="82"/>
      <c r="AA18" s="82"/>
      <c r="AB18" s="82"/>
      <c r="AC18" s="82"/>
      <c r="AD18" s="82"/>
      <c r="AE18" s="82"/>
      <c r="AF18" s="82"/>
    </row>
    <row r="19" spans="1:32">
      <c r="D19" s="114"/>
      <c r="E19" s="114"/>
      <c r="F19" s="114"/>
      <c r="G19" s="51"/>
      <c r="H19" s="85"/>
      <c r="J19" s="92"/>
      <c r="K19" s="82"/>
      <c r="L19" s="82"/>
      <c r="M19" s="82"/>
      <c r="N19" s="82"/>
      <c r="O19" s="82"/>
      <c r="P19" s="82"/>
      <c r="Q19" s="82"/>
      <c r="R19" s="82"/>
      <c r="S19" s="82"/>
      <c r="T19" s="82"/>
      <c r="U19" s="82"/>
      <c r="V19" s="82"/>
      <c r="W19" s="82"/>
      <c r="X19" s="82"/>
      <c r="Y19" s="82"/>
      <c r="Z19" s="82"/>
      <c r="AA19" s="82"/>
      <c r="AB19" s="82"/>
      <c r="AC19" s="82"/>
      <c r="AD19" s="82"/>
      <c r="AE19" s="82"/>
      <c r="AF19" s="82"/>
    </row>
    <row r="20" spans="1:32">
      <c r="A20" s="84"/>
      <c r="D20" s="114"/>
      <c r="E20" s="114"/>
      <c r="F20" s="114"/>
      <c r="G20" s="51"/>
      <c r="H20" s="85"/>
      <c r="J20" s="92"/>
      <c r="K20" s="82"/>
      <c r="L20" s="82"/>
      <c r="M20" s="82"/>
      <c r="N20" s="82"/>
      <c r="O20" s="82"/>
      <c r="P20" s="82"/>
      <c r="Q20" s="82"/>
      <c r="R20" s="82"/>
      <c r="S20" s="82"/>
      <c r="T20" s="82"/>
      <c r="U20" s="82"/>
      <c r="V20" s="82"/>
      <c r="W20" s="82"/>
      <c r="X20" s="82"/>
      <c r="Y20" s="82"/>
      <c r="Z20" s="82"/>
      <c r="AA20" s="82"/>
      <c r="AB20" s="82"/>
      <c r="AC20" s="82"/>
      <c r="AD20" s="82"/>
      <c r="AE20" s="82"/>
      <c r="AF20" s="82"/>
    </row>
    <row r="21" spans="1:32">
      <c r="D21" s="114"/>
      <c r="E21" s="114"/>
      <c r="F21" s="114"/>
      <c r="G21" s="3"/>
      <c r="J21" s="92"/>
      <c r="K21" s="82"/>
      <c r="L21" s="82"/>
      <c r="M21" s="82"/>
      <c r="N21" s="82"/>
      <c r="O21" s="82"/>
      <c r="P21" s="82"/>
      <c r="Q21" s="82"/>
      <c r="R21" s="82"/>
      <c r="S21" s="82"/>
      <c r="T21" s="82"/>
      <c r="U21" s="82"/>
      <c r="V21" s="82"/>
      <c r="W21" s="82"/>
      <c r="X21" s="82"/>
      <c r="Y21" s="82"/>
      <c r="Z21" s="82"/>
      <c r="AA21" s="82"/>
      <c r="AB21" s="82"/>
      <c r="AC21" s="82"/>
      <c r="AD21" s="82"/>
      <c r="AE21" s="82"/>
      <c r="AF21" s="82"/>
    </row>
    <row r="22" spans="1:32">
      <c r="E22" s="3"/>
      <c r="F22" s="19"/>
      <c r="G22" s="39"/>
      <c r="J22" s="92"/>
      <c r="K22" s="82"/>
      <c r="L22" s="82"/>
      <c r="M22" s="82"/>
      <c r="N22" s="82"/>
      <c r="O22" s="82"/>
      <c r="P22" s="82"/>
      <c r="Q22" s="82"/>
      <c r="R22" s="82"/>
      <c r="S22" s="82"/>
      <c r="T22" s="82"/>
      <c r="U22" s="82"/>
      <c r="V22" s="82"/>
      <c r="W22" s="82"/>
      <c r="X22" s="82"/>
      <c r="Y22" s="82"/>
      <c r="Z22" s="82"/>
      <c r="AA22" s="82"/>
      <c r="AB22" s="82"/>
      <c r="AC22" s="82"/>
      <c r="AD22" s="82"/>
      <c r="AE22" s="82"/>
      <c r="AF22" s="82"/>
    </row>
    <row r="23" spans="1:32" ht="12" customHeight="1">
      <c r="E23" s="5"/>
      <c r="J23" s="92"/>
      <c r="K23" s="82"/>
      <c r="L23" s="82"/>
      <c r="M23" s="82"/>
      <c r="N23" s="82"/>
      <c r="O23" s="82"/>
      <c r="P23" s="82"/>
      <c r="Q23" s="82"/>
      <c r="R23" s="82"/>
      <c r="S23" s="82"/>
      <c r="T23" s="82"/>
      <c r="U23" s="82"/>
      <c r="V23" s="82"/>
      <c r="W23" s="82"/>
      <c r="X23" s="82"/>
      <c r="Y23" s="82"/>
      <c r="Z23" s="82"/>
      <c r="AA23" s="82"/>
      <c r="AB23" s="82"/>
      <c r="AC23" s="82"/>
      <c r="AD23" s="82"/>
      <c r="AE23" s="82"/>
      <c r="AF23" s="82"/>
    </row>
    <row r="24" spans="1:32">
      <c r="E24" s="5"/>
      <c r="F24" s="80"/>
      <c r="G24" s="16"/>
      <c r="J24" s="92"/>
      <c r="K24" s="82"/>
      <c r="L24" s="82"/>
      <c r="M24" s="82"/>
      <c r="N24" s="82"/>
      <c r="O24" s="82"/>
      <c r="P24" s="82"/>
      <c r="Q24" s="82"/>
      <c r="R24" s="82"/>
      <c r="S24" s="82"/>
      <c r="T24" s="82"/>
      <c r="U24" s="82"/>
      <c r="V24" s="82"/>
      <c r="W24" s="82"/>
      <c r="X24" s="82"/>
      <c r="Y24" s="82"/>
      <c r="Z24" s="82"/>
      <c r="AA24" s="82"/>
      <c r="AB24" s="82"/>
      <c r="AC24" s="82"/>
      <c r="AD24" s="82"/>
      <c r="AE24" s="82"/>
      <c r="AF24" s="82"/>
    </row>
    <row r="25" spans="1:32">
      <c r="E25" s="5"/>
      <c r="F25" s="80"/>
      <c r="G25" s="113"/>
      <c r="J25" s="92"/>
      <c r="K25" s="82"/>
      <c r="L25" s="82"/>
      <c r="M25" s="82"/>
      <c r="N25" s="82"/>
      <c r="O25" s="82"/>
      <c r="P25" s="82"/>
      <c r="Q25" s="82"/>
      <c r="R25" s="82"/>
      <c r="S25" s="82"/>
      <c r="T25" s="82"/>
      <c r="U25" s="82"/>
      <c r="V25" s="82"/>
      <c r="W25" s="82"/>
      <c r="X25" s="82"/>
      <c r="Y25" s="82"/>
      <c r="Z25" s="82"/>
      <c r="AA25" s="82"/>
      <c r="AB25" s="82"/>
      <c r="AC25" s="82"/>
      <c r="AD25" s="82"/>
      <c r="AE25" s="82"/>
      <c r="AF25" s="82"/>
    </row>
    <row r="26" spans="1:32">
      <c r="D26" s="5"/>
      <c r="E26" s="5"/>
      <c r="F26" s="80"/>
      <c r="G26" s="51"/>
      <c r="J26" s="93"/>
      <c r="K26" s="82"/>
      <c r="L26" s="82"/>
      <c r="M26" s="82"/>
      <c r="N26" s="82"/>
      <c r="O26" s="82"/>
      <c r="P26" s="82"/>
      <c r="Q26" s="82"/>
      <c r="R26" s="82"/>
      <c r="S26" s="82"/>
      <c r="T26" s="82"/>
      <c r="U26" s="82"/>
      <c r="V26" s="82"/>
      <c r="W26" s="82"/>
      <c r="X26" s="82"/>
      <c r="Y26" s="82"/>
      <c r="Z26" s="82"/>
      <c r="AA26" s="82"/>
      <c r="AB26" s="82"/>
      <c r="AC26" s="82"/>
      <c r="AD26" s="82"/>
      <c r="AE26" s="82"/>
      <c r="AF26" s="82"/>
    </row>
    <row r="27" spans="1:32">
      <c r="D27" s="20"/>
      <c r="E27" s="20"/>
      <c r="L27" s="82"/>
      <c r="M27" s="82"/>
      <c r="N27" s="82"/>
      <c r="O27" s="82"/>
      <c r="P27" s="82"/>
      <c r="Q27" s="82"/>
      <c r="R27" s="82"/>
      <c r="S27" s="82"/>
      <c r="T27" s="82"/>
      <c r="U27" s="82"/>
      <c r="V27" s="82"/>
      <c r="W27" s="82"/>
      <c r="X27" s="82"/>
      <c r="Y27" s="82"/>
      <c r="Z27" s="82"/>
      <c r="AA27" s="82"/>
      <c r="AB27" s="82"/>
      <c r="AC27" s="82"/>
      <c r="AD27" s="82"/>
      <c r="AE27" s="82"/>
      <c r="AF27" s="82"/>
    </row>
    <row r="28" spans="1:32">
      <c r="D28" s="5"/>
      <c r="E28" s="5"/>
      <c r="L28" s="82"/>
      <c r="M28" s="82"/>
      <c r="N28" s="82"/>
      <c r="O28" s="82"/>
      <c r="P28" s="82"/>
      <c r="Q28" s="82"/>
      <c r="R28" s="82"/>
      <c r="S28" s="82"/>
      <c r="T28" s="82"/>
      <c r="U28" s="82"/>
      <c r="V28" s="82"/>
      <c r="W28" s="82"/>
      <c r="X28" s="82"/>
      <c r="Y28" s="82"/>
      <c r="Z28" s="82"/>
      <c r="AA28" s="82"/>
      <c r="AB28" s="82"/>
      <c r="AC28" s="82"/>
      <c r="AD28" s="82"/>
      <c r="AE28" s="82"/>
      <c r="AF28" s="82"/>
    </row>
    <row r="29" spans="1:32">
      <c r="D29" s="5"/>
      <c r="E29" s="5"/>
      <c r="K29" s="82"/>
      <c r="L29" s="82"/>
      <c r="M29" s="82"/>
      <c r="N29" s="82"/>
      <c r="O29" s="82"/>
      <c r="P29" s="82"/>
      <c r="Q29" s="82"/>
      <c r="R29" s="82"/>
      <c r="S29" s="82"/>
      <c r="T29" s="82"/>
      <c r="U29" s="82"/>
      <c r="V29" s="82"/>
      <c r="W29" s="82"/>
      <c r="X29" s="82"/>
      <c r="Y29" s="82"/>
      <c r="Z29" s="82"/>
      <c r="AA29" s="82"/>
      <c r="AB29" s="82"/>
      <c r="AC29" s="82"/>
      <c r="AD29" s="82"/>
      <c r="AE29" s="82"/>
      <c r="AF29" s="82"/>
    </row>
    <row r="30" spans="1:32" ht="14.25" customHeight="1">
      <c r="D30" s="5"/>
      <c r="E30" s="5"/>
      <c r="K30" s="82"/>
      <c r="L30" s="82"/>
      <c r="M30" s="82"/>
      <c r="N30" s="82"/>
      <c r="O30" s="82"/>
      <c r="P30" s="82"/>
      <c r="Q30" s="82"/>
      <c r="R30" s="82"/>
      <c r="S30" s="82"/>
      <c r="T30" s="82"/>
      <c r="U30" s="82"/>
      <c r="V30" s="82"/>
      <c r="W30" s="82"/>
      <c r="X30" s="82"/>
      <c r="Y30" s="82"/>
      <c r="Z30" s="82"/>
      <c r="AA30" s="82"/>
      <c r="AB30" s="82"/>
      <c r="AC30" s="82"/>
      <c r="AD30" s="82"/>
      <c r="AE30" s="82"/>
      <c r="AF30" s="82"/>
    </row>
    <row r="31" spans="1:32">
      <c r="D31" s="20"/>
      <c r="E31" s="20"/>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row>
    <row r="32" spans="1:32">
      <c r="D32" s="3"/>
      <c r="E32" s="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row>
    <row r="33" spans="4:3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row>
    <row r="34" spans="4:32">
      <c r="D34" s="19"/>
      <c r="E34" s="19"/>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row>
    <row r="35" spans="4:32">
      <c r="D35" s="38"/>
      <c r="E35" s="3"/>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row>
    <row r="36" spans="4:3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row>
    <row r="37" spans="4:3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row>
    <row r="38" spans="4:3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77" customWidth="1"/>
    <col min="2" max="2" width="27" style="77" customWidth="1"/>
    <col min="3" max="6" width="11.7109375" style="77" customWidth="1"/>
    <col min="7" max="7" width="11.7109375" style="77" customWidth="1" collapsed="1"/>
    <col min="8" max="13" width="11.7109375" style="77" customWidth="1"/>
    <col min="14" max="26" width="9.140625" style="77" customWidth="1"/>
    <col min="27" max="27" width="9.28515625" style="77" customWidth="1"/>
    <col min="28" max="28" width="9.42578125" style="77" customWidth="1"/>
    <col min="29" max="29" width="10" style="77" customWidth="1"/>
    <col min="30" max="30" width="11.42578125" style="77" customWidth="1"/>
    <col min="31" max="31" width="9.42578125" style="77" bestFit="1" customWidth="1" collapsed="1"/>
    <col min="32" max="16384" width="9.140625" style="77"/>
  </cols>
  <sheetData>
    <row r="1" spans="1:32" s="76" customFormat="1" ht="15" customHeight="1">
      <c r="B1" s="15" t="s">
        <v>117</v>
      </c>
      <c r="C1" s="75"/>
      <c r="D1" s="75"/>
      <c r="E1" s="75"/>
      <c r="F1" s="75"/>
      <c r="G1" s="75"/>
      <c r="H1" s="75"/>
      <c r="I1" s="75"/>
      <c r="J1" s="75"/>
      <c r="K1" s="75"/>
      <c r="L1" s="75"/>
    </row>
    <row r="2" spans="1:32" ht="12" customHeight="1">
      <c r="C2" s="89"/>
    </row>
    <row r="3" spans="1:32" ht="12" customHeight="1">
      <c r="A3" s="79"/>
      <c r="G3" s="95"/>
      <c r="H3" s="95"/>
      <c r="I3" s="96"/>
      <c r="J3" s="95"/>
      <c r="K3" s="95"/>
      <c r="L3" s="95"/>
      <c r="M3" s="95"/>
      <c r="N3" s="95"/>
      <c r="O3" s="95"/>
      <c r="P3" s="95"/>
      <c r="Q3" s="95"/>
    </row>
    <row r="4" spans="1:32" ht="12" customHeight="1">
      <c r="A4" s="84"/>
      <c r="B4" s="247" t="s">
        <v>404</v>
      </c>
      <c r="C4" s="247"/>
      <c r="D4" s="247"/>
      <c r="E4" s="247"/>
      <c r="F4" s="247"/>
      <c r="G4" s="456"/>
      <c r="H4" s="134"/>
      <c r="I4" s="112"/>
      <c r="J4" s="112"/>
      <c r="K4" s="112"/>
      <c r="L4" s="112"/>
      <c r="M4" s="112"/>
      <c r="N4" s="112"/>
      <c r="O4" s="112"/>
      <c r="P4" s="78"/>
      <c r="R4" s="81"/>
      <c r="S4" s="81"/>
      <c r="T4" s="81"/>
      <c r="U4" s="81"/>
      <c r="Z4" s="81"/>
    </row>
    <row r="5" spans="1:32" ht="12" customHeight="1" thickBot="1">
      <c r="A5" s="84"/>
      <c r="B5" s="349" t="str">
        <f>Drivers!$C$5&amp;" in mil"</f>
        <v>$ in mil</v>
      </c>
      <c r="C5" s="367">
        <v>43101</v>
      </c>
      <c r="D5" s="367">
        <f>EDATE(C5,12)</f>
        <v>43466</v>
      </c>
      <c r="E5" s="367">
        <f>EDATE(D5,12)</f>
        <v>43831</v>
      </c>
      <c r="F5" s="367">
        <f>EDATE(E5,12)</f>
        <v>44197</v>
      </c>
      <c r="G5" s="367">
        <f>EDATE(F5,12)</f>
        <v>44562</v>
      </c>
      <c r="H5" s="134"/>
      <c r="I5" s="92"/>
      <c r="J5" s="36"/>
      <c r="K5" s="36"/>
      <c r="L5" s="36"/>
      <c r="M5" s="36"/>
      <c r="N5" s="36"/>
      <c r="O5" s="36"/>
      <c r="P5" s="36"/>
      <c r="R5" s="82"/>
      <c r="S5" s="82"/>
      <c r="T5" s="82"/>
      <c r="U5" s="82"/>
      <c r="V5" s="82"/>
      <c r="W5" s="82"/>
      <c r="X5" s="82"/>
      <c r="Y5" s="82"/>
      <c r="Z5" s="82"/>
      <c r="AA5" s="82"/>
      <c r="AB5" s="82"/>
      <c r="AC5" s="82"/>
      <c r="AD5" s="82"/>
      <c r="AE5" s="82"/>
    </row>
    <row r="6" spans="1:32" ht="12" customHeight="1">
      <c r="A6" s="84"/>
      <c r="B6" s="82" t="s">
        <v>115</v>
      </c>
      <c r="C6" s="378">
        <v>813</v>
      </c>
      <c r="D6" s="378">
        <v>596</v>
      </c>
      <c r="E6" s="378">
        <v>257</v>
      </c>
      <c r="F6" s="378">
        <v>158</v>
      </c>
      <c r="G6" s="378">
        <f>Drivers!I11</f>
        <v>68</v>
      </c>
      <c r="I6" s="92"/>
      <c r="J6" s="92"/>
      <c r="K6" s="92"/>
      <c r="L6" s="92"/>
      <c r="M6" s="92"/>
      <c r="N6" s="92"/>
      <c r="O6" s="92"/>
      <c r="P6" s="92"/>
      <c r="R6" s="82"/>
      <c r="S6" s="82"/>
      <c r="T6" s="82"/>
      <c r="U6" s="82"/>
      <c r="V6" s="82"/>
      <c r="W6" s="82"/>
      <c r="X6" s="82"/>
      <c r="Y6" s="82"/>
      <c r="Z6" s="82"/>
      <c r="AA6" s="82"/>
      <c r="AB6" s="82"/>
      <c r="AC6" s="82"/>
      <c r="AD6" s="82"/>
      <c r="AE6" s="82"/>
    </row>
    <row r="7" spans="1:32" ht="12" customHeight="1">
      <c r="B7" s="82" t="s">
        <v>4</v>
      </c>
      <c r="C7" s="457">
        <f>'Accounting Adjustments'!C5</f>
        <v>101127</v>
      </c>
      <c r="D7" s="457">
        <f>'Accounting Adjustments'!D5</f>
        <v>76559</v>
      </c>
      <c r="E7" s="457">
        <f>'Accounting Adjustments'!E5</f>
        <v>58158</v>
      </c>
      <c r="F7" s="457">
        <f>'Accounting Adjustments'!F5</f>
        <v>62286</v>
      </c>
      <c r="G7" s="457">
        <f>'Accounting Adjustments'!G5</f>
        <v>66608</v>
      </c>
      <c r="H7" s="90"/>
      <c r="I7" s="90"/>
      <c r="M7" s="82"/>
      <c r="N7" s="82"/>
      <c r="O7" s="89"/>
      <c r="P7" s="92"/>
      <c r="R7" s="82"/>
      <c r="S7" s="82"/>
      <c r="T7" s="82"/>
      <c r="U7" s="82"/>
      <c r="V7" s="82"/>
      <c r="W7" s="82"/>
      <c r="X7" s="82"/>
      <c r="Y7" s="82"/>
      <c r="Z7" s="82"/>
      <c r="AA7" s="82"/>
      <c r="AB7" s="82"/>
      <c r="AC7" s="82"/>
      <c r="AD7" s="82"/>
      <c r="AE7" s="82"/>
    </row>
    <row r="8" spans="1:32" ht="12" customHeight="1">
      <c r="A8" s="84"/>
      <c r="B8" s="82" t="s">
        <v>116</v>
      </c>
      <c r="C8" s="92">
        <f>C6/C7</f>
        <v>8.0393960070010984E-3</v>
      </c>
      <c r="D8" s="92">
        <f>D6/D7</f>
        <v>7.7848456745777768E-3</v>
      </c>
      <c r="E8" s="92">
        <f>E6/E7</f>
        <v>4.4189965267031192E-3</v>
      </c>
      <c r="F8" s="92">
        <f>F6/F7</f>
        <v>2.536685611533892E-3</v>
      </c>
      <c r="G8" s="92">
        <f>G6/G7</f>
        <v>1.0208983905837137E-3</v>
      </c>
      <c r="H8" s="51"/>
      <c r="J8" s="104"/>
      <c r="K8" s="105"/>
      <c r="O8" s="82"/>
      <c r="P8" s="82"/>
      <c r="Q8" s="82"/>
      <c r="R8" s="82"/>
      <c r="S8" s="82"/>
      <c r="T8" s="82"/>
      <c r="U8" s="82"/>
      <c r="V8" s="82"/>
      <c r="W8" s="82"/>
      <c r="X8" s="82"/>
      <c r="Y8" s="82"/>
      <c r="Z8" s="82"/>
      <c r="AA8" s="82"/>
      <c r="AB8" s="82"/>
      <c r="AC8" s="82"/>
      <c r="AD8" s="82"/>
      <c r="AE8" s="82"/>
      <c r="AF8" s="82"/>
    </row>
    <row r="9" spans="1:32" ht="12" customHeight="1">
      <c r="A9" s="84"/>
      <c r="B9" s="82"/>
      <c r="C9" s="97"/>
      <c r="D9" s="91"/>
      <c r="F9" s="135" t="s">
        <v>126</v>
      </c>
      <c r="G9" s="130">
        <f>MEDIAN(C8:G8)</f>
        <v>4.4189965267031192E-3</v>
      </c>
      <c r="J9" s="80"/>
      <c r="K9" s="90"/>
      <c r="O9" s="82"/>
      <c r="P9" s="82"/>
      <c r="Q9" s="82"/>
      <c r="R9" s="82"/>
      <c r="S9" s="82"/>
      <c r="T9" s="82"/>
      <c r="U9" s="82"/>
      <c r="V9" s="82"/>
      <c r="W9" s="82"/>
      <c r="X9" s="82"/>
      <c r="Y9" s="82"/>
      <c r="Z9" s="82"/>
      <c r="AA9" s="82"/>
      <c r="AB9" s="82"/>
      <c r="AC9" s="82"/>
      <c r="AD9" s="82"/>
      <c r="AE9" s="82"/>
      <c r="AF9" s="82"/>
    </row>
    <row r="10" spans="1:32">
      <c r="A10" s="80"/>
      <c r="O10" s="82"/>
      <c r="P10" s="82"/>
      <c r="Q10" s="82"/>
      <c r="R10" s="82"/>
      <c r="S10" s="82"/>
      <c r="T10" s="82"/>
      <c r="U10" s="82"/>
      <c r="V10" s="82"/>
      <c r="W10" s="82"/>
      <c r="X10" s="82"/>
      <c r="Y10" s="82"/>
      <c r="Z10" s="82"/>
      <c r="AA10" s="82"/>
      <c r="AB10" s="82"/>
      <c r="AC10" s="82"/>
      <c r="AD10" s="82"/>
      <c r="AE10" s="82"/>
      <c r="AF10" s="82"/>
    </row>
    <row r="11" spans="1:32" ht="12.75" customHeight="1">
      <c r="A11" s="84"/>
      <c r="B11" s="247" t="s">
        <v>407</v>
      </c>
      <c r="C11" s="247"/>
      <c r="D11" s="247"/>
      <c r="E11" s="247"/>
      <c r="F11" s="247"/>
      <c r="G11" s="456"/>
      <c r="H11" s="247"/>
      <c r="I11" s="247"/>
      <c r="J11" s="247"/>
      <c r="K11" s="247"/>
      <c r="L11" s="456"/>
      <c r="M11" s="456"/>
      <c r="N11" s="97"/>
      <c r="O11" s="82"/>
      <c r="P11" s="82"/>
      <c r="Q11" s="82"/>
      <c r="R11" s="82"/>
      <c r="S11" s="82"/>
      <c r="T11" s="82"/>
      <c r="U11" s="82"/>
      <c r="V11" s="82"/>
      <c r="W11" s="82"/>
      <c r="X11" s="82"/>
      <c r="Y11" s="82"/>
      <c r="Z11" s="82"/>
      <c r="AA11" s="82"/>
      <c r="AB11" s="82"/>
      <c r="AC11" s="82"/>
      <c r="AD11" s="82"/>
      <c r="AE11" s="82"/>
      <c r="AF11" s="82"/>
    </row>
    <row r="12" spans="1:32" ht="12.75" thickBot="1">
      <c r="B12" s="349" t="str">
        <f>Drivers!$C$5&amp;" in mil"</f>
        <v>$ in mil</v>
      </c>
      <c r="C12" s="367">
        <v>44562</v>
      </c>
      <c r="D12" s="458">
        <f>EDATE(C12,12)</f>
        <v>44927</v>
      </c>
      <c r="E12" s="458">
        <f t="shared" ref="E12:M12" si="0">EDATE(D12,12)</f>
        <v>45292</v>
      </c>
      <c r="F12" s="458">
        <f t="shared" si="0"/>
        <v>45658</v>
      </c>
      <c r="G12" s="458">
        <f t="shared" si="0"/>
        <v>46023</v>
      </c>
      <c r="H12" s="458">
        <f t="shared" si="0"/>
        <v>46388</v>
      </c>
      <c r="I12" s="458">
        <f t="shared" si="0"/>
        <v>46753</v>
      </c>
      <c r="J12" s="458">
        <f t="shared" si="0"/>
        <v>47119</v>
      </c>
      <c r="K12" s="458">
        <f t="shared" si="0"/>
        <v>47484</v>
      </c>
      <c r="L12" s="458">
        <f t="shared" si="0"/>
        <v>47849</v>
      </c>
      <c r="M12" s="458">
        <f t="shared" si="0"/>
        <v>48214</v>
      </c>
      <c r="N12" s="97"/>
      <c r="O12" s="95"/>
      <c r="P12" s="95"/>
      <c r="Q12" s="95"/>
      <c r="R12" s="82"/>
      <c r="S12" s="82"/>
      <c r="T12" s="82"/>
      <c r="U12" s="82"/>
      <c r="V12" s="82"/>
      <c r="W12" s="82"/>
      <c r="X12" s="82"/>
      <c r="Y12" s="82"/>
      <c r="Z12" s="82"/>
      <c r="AA12" s="82"/>
      <c r="AB12" s="82"/>
      <c r="AC12" s="82"/>
      <c r="AD12" s="82"/>
      <c r="AE12" s="82"/>
      <c r="AF12" s="82"/>
    </row>
    <row r="13" spans="1:32" ht="12" customHeight="1">
      <c r="A13" s="84"/>
      <c r="B13" s="82" t="s">
        <v>116</v>
      </c>
      <c r="C13" s="92">
        <f>$G$8</f>
        <v>1.0208983905837137E-3</v>
      </c>
      <c r="D13" s="92">
        <f>$G$9</f>
        <v>4.4189965267031192E-3</v>
      </c>
      <c r="E13" s="92">
        <f>AVERAGE(D13,F13)</f>
        <v>3.9916219608652293E-3</v>
      </c>
      <c r="F13" s="92">
        <f>AVERAGE(D13,H13)</f>
        <v>3.5642473950273394E-3</v>
      </c>
      <c r="G13" s="92">
        <f>AVERAGE(F13,H13)</f>
        <v>3.1368728291894495E-3</v>
      </c>
      <c r="H13" s="92">
        <f>+AVERAGE(D13,L13)</f>
        <v>2.7094982633515596E-3</v>
      </c>
      <c r="I13" s="92">
        <f>AVERAGE(H13,J13)</f>
        <v>2.2821236975136697E-3</v>
      </c>
      <c r="J13" s="92">
        <f>AVERAGE(H13,L13)</f>
        <v>1.8547491316757798E-3</v>
      </c>
      <c r="K13" s="92">
        <f>AVERAGE(J13,L13)</f>
        <v>1.4273745658378899E-3</v>
      </c>
      <c r="L13" s="92">
        <v>1E-3</v>
      </c>
      <c r="M13" s="92">
        <v>1E-3</v>
      </c>
      <c r="O13" s="82"/>
      <c r="P13" s="82"/>
      <c r="Q13" s="82"/>
      <c r="R13" s="82"/>
      <c r="S13" s="82"/>
      <c r="T13" s="82"/>
      <c r="U13" s="82"/>
      <c r="V13" s="82"/>
      <c r="W13" s="82"/>
      <c r="X13" s="82"/>
      <c r="Y13" s="82"/>
      <c r="Z13" s="82"/>
      <c r="AA13" s="82"/>
      <c r="AB13" s="82"/>
      <c r="AC13" s="82"/>
      <c r="AD13" s="82"/>
      <c r="AE13" s="82"/>
      <c r="AF13" s="82"/>
    </row>
    <row r="14" spans="1:32">
      <c r="B14" s="82" t="s">
        <v>4</v>
      </c>
      <c r="C14" s="360">
        <f>'Future CashFlows (10Y)'!C5</f>
        <v>66608</v>
      </c>
      <c r="D14" s="360">
        <f>'Future CashFlows (10Y)'!D5</f>
        <v>67790.583845826652</v>
      </c>
      <c r="E14" s="360">
        <f>'Future CashFlows (10Y)'!E5</f>
        <v>68994.163736458882</v>
      </c>
      <c r="F14" s="360">
        <f>'Future CashFlows (10Y)'!F5</f>
        <v>70219.112443687074</v>
      </c>
      <c r="G14" s="360">
        <f>'Future CashFlows (10Y)'!G5</f>
        <v>71465.809357634193</v>
      </c>
      <c r="H14" s="360">
        <f>'Future CashFlows (10Y)'!H5</f>
        <v>72734.640604260203</v>
      </c>
      <c r="I14" s="360">
        <f>'Future CashFlows (10Y)'!I5</f>
        <v>74025.999164952693</v>
      </c>
      <c r="J14" s="360">
        <f>'Future CashFlows (10Y)'!J5</f>
        <v>75340.284998240735</v>
      </c>
      <c r="K14" s="360">
        <f>'Future CashFlows (10Y)'!K5</f>
        <v>76677.90516366974</v>
      </c>
      <c r="L14" s="360">
        <f>'Future CashFlows (10Y)'!L5</f>
        <v>78039.273947875598</v>
      </c>
      <c r="M14" s="360">
        <f>'Future CashFlows (10Y)'!M5</f>
        <v>79424.81299289719</v>
      </c>
      <c r="O14" s="82"/>
      <c r="P14" s="82"/>
      <c r="Q14" s="82"/>
      <c r="R14" s="82"/>
      <c r="S14" s="82"/>
      <c r="T14" s="82"/>
      <c r="U14" s="82"/>
      <c r="V14" s="82"/>
      <c r="W14" s="82"/>
      <c r="X14" s="82"/>
      <c r="Y14" s="82"/>
      <c r="Z14" s="82"/>
      <c r="AA14" s="82"/>
      <c r="AB14" s="82"/>
      <c r="AC14" s="82"/>
      <c r="AD14" s="82"/>
      <c r="AE14" s="82"/>
      <c r="AF14" s="82"/>
    </row>
    <row r="15" spans="1:32">
      <c r="B15" s="460" t="s">
        <v>406</v>
      </c>
      <c r="C15" s="461">
        <f>C13*C14</f>
        <v>68</v>
      </c>
      <c r="D15" s="461">
        <f t="shared" ref="D15:M15" si="1">D13*D14</f>
        <v>299.56635455788455</v>
      </c>
      <c r="E15" s="461">
        <f t="shared" si="1"/>
        <v>275.3986191419807</v>
      </c>
      <c r="F15" s="461">
        <f t="shared" si="1"/>
        <v>250.27828860854348</v>
      </c>
      <c r="G15" s="461">
        <f t="shared" si="1"/>
        <v>224.17915558999582</v>
      </c>
      <c r="H15" s="461">
        <f t="shared" si="1"/>
        <v>197.07438240274286</v>
      </c>
      <c r="I15" s="461">
        <f t="shared" si="1"/>
        <v>168.93648692646568</v>
      </c>
      <c r="J15" s="461">
        <f t="shared" si="1"/>
        <v>139.73732818069277</v>
      </c>
      <c r="K15" s="461">
        <f t="shared" si="1"/>
        <v>109.44809159235199</v>
      </c>
      <c r="L15" s="461">
        <f t="shared" si="1"/>
        <v>78.0392739478756</v>
      </c>
      <c r="M15" s="461">
        <f t="shared" si="1"/>
        <v>79.424812992897188</v>
      </c>
      <c r="O15" s="82"/>
      <c r="P15" s="82"/>
      <c r="Q15" s="82"/>
      <c r="R15" s="82"/>
      <c r="S15" s="82"/>
      <c r="T15" s="82"/>
      <c r="U15" s="82"/>
      <c r="V15" s="82"/>
      <c r="W15" s="82"/>
      <c r="X15" s="82"/>
      <c r="Y15" s="82"/>
      <c r="Z15" s="82"/>
      <c r="AA15" s="82"/>
      <c r="AB15" s="82"/>
      <c r="AC15" s="82"/>
      <c r="AD15" s="82"/>
      <c r="AE15" s="82"/>
      <c r="AF15" s="82"/>
    </row>
    <row r="16" spans="1:32">
      <c r="O16" s="82"/>
      <c r="P16" s="82"/>
      <c r="Q16" s="82"/>
      <c r="R16" s="82"/>
      <c r="S16" s="82"/>
      <c r="T16" s="82"/>
      <c r="U16" s="82"/>
      <c r="V16" s="82"/>
      <c r="W16" s="82"/>
      <c r="X16" s="82"/>
      <c r="Y16" s="82"/>
      <c r="Z16" s="82"/>
      <c r="AA16" s="82"/>
      <c r="AB16" s="82"/>
      <c r="AC16" s="82"/>
      <c r="AD16" s="82"/>
      <c r="AE16" s="82"/>
      <c r="AF16" s="82"/>
    </row>
    <row r="17" spans="1:32">
      <c r="O17" s="82"/>
      <c r="P17" s="82"/>
      <c r="Q17" s="82"/>
      <c r="R17" s="82"/>
      <c r="S17" s="82"/>
      <c r="T17" s="82"/>
      <c r="U17" s="82"/>
      <c r="V17" s="82"/>
      <c r="W17" s="82"/>
      <c r="X17" s="82"/>
      <c r="Y17" s="82"/>
      <c r="Z17" s="82"/>
      <c r="AA17" s="82"/>
      <c r="AB17" s="82"/>
      <c r="AC17" s="82"/>
      <c r="AD17" s="82"/>
      <c r="AE17" s="82"/>
      <c r="AF17" s="82"/>
    </row>
    <row r="18" spans="1:32">
      <c r="A18" s="84"/>
      <c r="N18" s="82"/>
      <c r="O18" s="82"/>
      <c r="P18" s="82"/>
      <c r="Q18" s="82"/>
      <c r="R18" s="82"/>
      <c r="S18" s="82"/>
      <c r="T18" s="82"/>
      <c r="U18" s="82"/>
      <c r="V18" s="82"/>
      <c r="W18" s="82"/>
      <c r="X18" s="82"/>
      <c r="Y18" s="82"/>
      <c r="Z18" s="82"/>
      <c r="AA18" s="82"/>
      <c r="AB18" s="82"/>
      <c r="AC18" s="82"/>
      <c r="AD18" s="82"/>
      <c r="AE18" s="82"/>
      <c r="AF18" s="82"/>
    </row>
    <row r="19" spans="1:32">
      <c r="J19" s="93"/>
      <c r="K19" s="82"/>
      <c r="L19" s="82"/>
      <c r="M19" s="82"/>
      <c r="N19" s="82"/>
      <c r="O19" s="82"/>
      <c r="P19" s="82"/>
      <c r="Q19" s="82"/>
      <c r="R19" s="82"/>
      <c r="S19" s="82"/>
      <c r="T19" s="82"/>
      <c r="U19" s="82"/>
      <c r="V19" s="82"/>
      <c r="W19" s="82"/>
      <c r="X19" s="82"/>
      <c r="Y19" s="82"/>
      <c r="Z19" s="82"/>
      <c r="AA19" s="82"/>
      <c r="AB19" s="82"/>
      <c r="AC19" s="82"/>
      <c r="AD19" s="82"/>
      <c r="AE19" s="82"/>
      <c r="AF19" s="82"/>
    </row>
    <row r="20" spans="1:32">
      <c r="A20" s="84"/>
      <c r="B20" s="231"/>
      <c r="C20" s="336"/>
      <c r="D20" s="459"/>
      <c r="E20" s="433"/>
      <c r="F20" s="459"/>
      <c r="G20" s="92"/>
      <c r="L20" s="82"/>
      <c r="M20" s="82"/>
      <c r="N20" s="82"/>
      <c r="O20" s="82"/>
      <c r="P20" s="82"/>
      <c r="Q20" s="82"/>
      <c r="R20" s="82"/>
      <c r="S20" s="82"/>
      <c r="T20" s="82"/>
      <c r="U20" s="82"/>
      <c r="V20" s="82"/>
      <c r="W20" s="82"/>
      <c r="X20" s="82"/>
      <c r="Y20" s="82"/>
      <c r="Z20" s="82"/>
      <c r="AA20" s="82"/>
      <c r="AB20" s="82"/>
      <c r="AC20" s="82"/>
      <c r="AD20" s="82"/>
      <c r="AE20" s="82"/>
      <c r="AF20" s="82"/>
    </row>
    <row r="21" spans="1:32">
      <c r="B21" s="231"/>
      <c r="C21" s="336"/>
      <c r="D21" s="459"/>
      <c r="E21" s="433"/>
      <c r="F21" s="459"/>
      <c r="G21" s="92"/>
      <c r="L21" s="82"/>
      <c r="M21" s="82"/>
      <c r="N21" s="82"/>
      <c r="O21" s="82"/>
      <c r="P21" s="82"/>
      <c r="Q21" s="82"/>
      <c r="R21" s="82"/>
      <c r="S21" s="82"/>
      <c r="T21" s="82"/>
      <c r="U21" s="82"/>
      <c r="V21" s="82"/>
      <c r="W21" s="82"/>
      <c r="X21" s="82"/>
      <c r="Y21" s="82"/>
      <c r="Z21" s="82"/>
      <c r="AA21" s="82"/>
      <c r="AB21" s="82"/>
      <c r="AC21" s="82"/>
      <c r="AD21" s="82"/>
      <c r="AE21" s="82"/>
      <c r="AF21" s="82"/>
    </row>
    <row r="22" spans="1:32">
      <c r="B22" s="231"/>
      <c r="C22" s="336"/>
      <c r="D22" s="459"/>
      <c r="E22" s="433"/>
      <c r="F22" s="459"/>
      <c r="G22" s="92"/>
      <c r="K22" s="82"/>
      <c r="L22" s="82"/>
      <c r="M22" s="82"/>
      <c r="N22" s="82"/>
      <c r="O22" s="82"/>
      <c r="P22" s="82"/>
      <c r="Q22" s="82"/>
      <c r="R22" s="82"/>
      <c r="S22" s="82"/>
      <c r="T22" s="82"/>
      <c r="U22" s="82"/>
      <c r="V22" s="82"/>
      <c r="W22" s="82"/>
      <c r="X22" s="82"/>
      <c r="Y22" s="82"/>
      <c r="Z22" s="82"/>
      <c r="AA22" s="82"/>
      <c r="AB22" s="82"/>
      <c r="AC22" s="82"/>
      <c r="AD22" s="82"/>
      <c r="AE22" s="82"/>
      <c r="AF22" s="82"/>
    </row>
    <row r="23" spans="1:32" ht="12" customHeight="1">
      <c r="B23" s="231"/>
      <c r="C23" s="336"/>
      <c r="D23" s="459"/>
      <c r="E23" s="433"/>
      <c r="F23" s="459"/>
      <c r="G23" s="92"/>
      <c r="K23" s="82"/>
      <c r="L23" s="82"/>
      <c r="M23" s="82"/>
      <c r="N23" s="82"/>
      <c r="O23" s="82"/>
      <c r="P23" s="82"/>
      <c r="Q23" s="82"/>
      <c r="R23" s="82"/>
      <c r="S23" s="82"/>
      <c r="T23" s="82"/>
      <c r="U23" s="82"/>
      <c r="V23" s="82"/>
      <c r="W23" s="82"/>
      <c r="X23" s="82"/>
      <c r="Y23" s="82"/>
      <c r="Z23" s="82"/>
      <c r="AA23" s="82"/>
      <c r="AB23" s="82"/>
      <c r="AC23" s="82"/>
      <c r="AD23" s="82"/>
      <c r="AE23" s="82"/>
      <c r="AF23" s="82"/>
    </row>
    <row r="24" spans="1:32">
      <c r="B24" s="231"/>
      <c r="C24" s="336"/>
      <c r="D24" s="459"/>
      <c r="E24" s="433"/>
      <c r="F24" s="459"/>
      <c r="G24" s="92"/>
      <c r="H24" s="82"/>
      <c r="I24" s="82"/>
      <c r="J24" s="82"/>
      <c r="K24" s="82"/>
      <c r="L24" s="82"/>
      <c r="M24" s="82"/>
      <c r="N24" s="82"/>
      <c r="O24" s="82"/>
      <c r="P24" s="82"/>
      <c r="Q24" s="82"/>
      <c r="R24" s="82"/>
      <c r="S24" s="82"/>
      <c r="T24" s="82"/>
      <c r="U24" s="82"/>
      <c r="V24" s="82"/>
      <c r="W24" s="82"/>
      <c r="X24" s="82"/>
      <c r="Y24" s="82"/>
      <c r="Z24" s="82"/>
      <c r="AA24" s="82"/>
      <c r="AB24" s="82"/>
      <c r="AC24" s="82"/>
      <c r="AD24" s="82"/>
      <c r="AE24" s="82"/>
      <c r="AF24" s="82"/>
    </row>
    <row r="25" spans="1:32">
      <c r="B25" s="231"/>
      <c r="C25" s="336"/>
      <c r="D25" s="459"/>
      <c r="E25" s="433"/>
      <c r="F25" s="459"/>
      <c r="G25" s="92"/>
      <c r="H25" s="82"/>
      <c r="I25" s="82"/>
      <c r="J25" s="82"/>
      <c r="K25" s="82"/>
      <c r="L25" s="82"/>
      <c r="M25" s="82"/>
      <c r="N25" s="82"/>
      <c r="O25" s="82"/>
      <c r="P25" s="82"/>
      <c r="Q25" s="82"/>
      <c r="R25" s="82"/>
      <c r="S25" s="82"/>
      <c r="T25" s="82"/>
      <c r="U25" s="82"/>
      <c r="V25" s="82"/>
      <c r="W25" s="82"/>
      <c r="X25" s="82"/>
      <c r="Y25" s="82"/>
      <c r="Z25" s="82"/>
      <c r="AA25" s="82"/>
      <c r="AB25" s="82"/>
      <c r="AC25" s="82"/>
      <c r="AD25" s="82"/>
      <c r="AE25" s="82"/>
      <c r="AF25" s="82"/>
    </row>
    <row r="26" spans="1:32">
      <c r="G26" s="82"/>
      <c r="H26" s="82"/>
      <c r="I26" s="82"/>
      <c r="J26" s="82"/>
      <c r="K26" s="82"/>
      <c r="L26" s="82"/>
      <c r="M26" s="82"/>
      <c r="N26" s="82"/>
      <c r="O26" s="82"/>
      <c r="P26" s="82"/>
      <c r="Q26" s="82"/>
      <c r="R26" s="82"/>
      <c r="S26" s="82"/>
      <c r="T26" s="82"/>
      <c r="U26" s="82"/>
      <c r="V26" s="82"/>
      <c r="W26" s="82"/>
      <c r="X26" s="82"/>
      <c r="Y26" s="82"/>
      <c r="Z26" s="82"/>
      <c r="AA26" s="82"/>
      <c r="AB26" s="82"/>
      <c r="AC26" s="82"/>
      <c r="AD26" s="82"/>
      <c r="AE26" s="82"/>
      <c r="AF26" s="82"/>
    </row>
    <row r="27" spans="1:32">
      <c r="D27" s="19"/>
      <c r="E27" s="19"/>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row>
    <row r="28" spans="1:32">
      <c r="D28" s="38"/>
      <c r="E28" s="3"/>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row>
    <row r="29" spans="1:3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row>
    <row r="30" spans="1:32" ht="14.25" customHeight="1">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row>
    <row r="31" spans="1:3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row>
    <row r="32" spans="1:32">
      <c r="N32" s="82"/>
      <c r="O32" s="82"/>
      <c r="P32" s="82"/>
      <c r="Q32" s="82"/>
      <c r="R32" s="82"/>
      <c r="S32" s="82"/>
      <c r="T32" s="82"/>
      <c r="U32" s="82"/>
      <c r="V32" s="82"/>
      <c r="W32" s="82"/>
      <c r="X32" s="82"/>
      <c r="Y32" s="82"/>
      <c r="Z32" s="82"/>
      <c r="AA32" s="82"/>
      <c r="AB32" s="82"/>
      <c r="AC32" s="82"/>
      <c r="AD32" s="82"/>
      <c r="AE32" s="82"/>
      <c r="AF32" s="82"/>
    </row>
    <row r="33" spans="14:32">
      <c r="N33" s="82"/>
      <c r="O33" s="82"/>
      <c r="P33" s="82"/>
      <c r="Q33" s="82"/>
      <c r="R33" s="82"/>
      <c r="S33" s="82"/>
      <c r="T33" s="82"/>
      <c r="U33" s="82"/>
      <c r="V33" s="82"/>
      <c r="W33" s="82"/>
      <c r="X33" s="82"/>
      <c r="Y33" s="82"/>
      <c r="Z33" s="82"/>
      <c r="AA33" s="82"/>
      <c r="AB33" s="82"/>
      <c r="AC33" s="82"/>
      <c r="AD33" s="82"/>
      <c r="AE33" s="82"/>
      <c r="AF33" s="82"/>
    </row>
    <row r="34" spans="14:32">
      <c r="N34" s="82"/>
      <c r="O34" s="82"/>
      <c r="P34" s="82"/>
      <c r="Q34" s="82"/>
      <c r="R34" s="82"/>
      <c r="S34" s="82"/>
      <c r="T34" s="82"/>
      <c r="U34" s="82"/>
      <c r="V34" s="82"/>
      <c r="W34" s="82"/>
      <c r="X34" s="82"/>
      <c r="Y34" s="82"/>
      <c r="Z34" s="82"/>
      <c r="AA34" s="82"/>
      <c r="AB34" s="82"/>
      <c r="AC34" s="82"/>
      <c r="AD34" s="82"/>
      <c r="AE34" s="82"/>
      <c r="AF34" s="82"/>
    </row>
    <row r="35" spans="14:32">
      <c r="N35" s="82"/>
      <c r="O35" s="82"/>
      <c r="P35" s="82"/>
      <c r="Q35" s="82"/>
      <c r="R35" s="82"/>
      <c r="S35" s="82"/>
      <c r="T35" s="82"/>
      <c r="U35" s="82"/>
      <c r="V35" s="82"/>
      <c r="W35" s="82"/>
      <c r="X35" s="82"/>
      <c r="Y35" s="82"/>
      <c r="Z35" s="82"/>
      <c r="AA35" s="82"/>
      <c r="AB35" s="82"/>
      <c r="AC35" s="82"/>
      <c r="AD35" s="82"/>
      <c r="AE35" s="82"/>
      <c r="AF35" s="82"/>
    </row>
    <row r="36" spans="14:32">
      <c r="N36" s="82"/>
      <c r="O36" s="82"/>
      <c r="P36" s="82"/>
      <c r="Q36" s="82"/>
      <c r="R36" s="82"/>
      <c r="S36" s="82"/>
      <c r="T36" s="82"/>
      <c r="U36" s="82"/>
      <c r="V36" s="82"/>
      <c r="W36" s="82"/>
      <c r="X36" s="82"/>
      <c r="Y36" s="82"/>
      <c r="Z36" s="82"/>
      <c r="AA36" s="82"/>
      <c r="AB36" s="82"/>
      <c r="AC36" s="82"/>
      <c r="AD36" s="82"/>
      <c r="AE36" s="82"/>
      <c r="AF36" s="82"/>
    </row>
    <row r="37" spans="14:32">
      <c r="N37" s="82"/>
      <c r="O37" s="82"/>
      <c r="P37" s="82"/>
      <c r="Q37" s="82"/>
      <c r="R37" s="82"/>
      <c r="S37" s="82"/>
      <c r="T37" s="82"/>
      <c r="U37" s="82"/>
      <c r="V37" s="82"/>
      <c r="W37" s="82"/>
      <c r="X37" s="82"/>
      <c r="Y37" s="82"/>
      <c r="Z37" s="82"/>
      <c r="AA37" s="82"/>
      <c r="AB37" s="82"/>
      <c r="AC37" s="82"/>
      <c r="AD37" s="82"/>
      <c r="AE37" s="82"/>
      <c r="AF37" s="82"/>
    </row>
    <row r="38" spans="14:32">
      <c r="N38" s="82"/>
      <c r="O38" s="82"/>
      <c r="P38" s="82"/>
      <c r="Q38" s="82"/>
      <c r="R38" s="82"/>
      <c r="S38" s="82"/>
      <c r="T38" s="82"/>
      <c r="U38" s="82"/>
      <c r="V38" s="82"/>
      <c r="W38" s="82"/>
      <c r="X38" s="82"/>
      <c r="Y38" s="82"/>
      <c r="Z38" s="82"/>
      <c r="AA38" s="82"/>
      <c r="AB38" s="82"/>
      <c r="AC38" s="82"/>
      <c r="AD38" s="82"/>
      <c r="AE38" s="82"/>
      <c r="AF38" s="82"/>
    </row>
  </sheetData>
  <pageMargins left="0.7" right="0.7" top="0.75" bottom="0.75" header="0.3" footer="0.3"/>
  <pageSetup paperSize="8"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0" style="2" bestFit="1" customWidth="1"/>
    <col min="14" max="14" width="11" style="2" customWidth="1"/>
    <col min="15" max="16" width="10" style="2" bestFit="1" customWidth="1"/>
    <col min="17" max="19" width="9.140625" style="2"/>
    <col min="20" max="20" width="10.140625" style="2" bestFit="1" customWidth="1"/>
    <col min="21" max="16384" width="9.140625" style="2"/>
  </cols>
  <sheetData>
    <row r="1" spans="1:20" ht="16.5" customHeight="1">
      <c r="B1" s="15" t="s">
        <v>95</v>
      </c>
    </row>
    <row r="3" spans="1:20" ht="12" customHeight="1">
      <c r="B3" s="247" t="s">
        <v>96</v>
      </c>
      <c r="C3" s="440">
        <v>1</v>
      </c>
      <c r="D3" s="440">
        <v>2</v>
      </c>
      <c r="E3" s="440">
        <v>3</v>
      </c>
      <c r="F3" s="440">
        <v>4</v>
      </c>
      <c r="G3" s="440">
        <v>5</v>
      </c>
      <c r="H3" s="440">
        <v>6</v>
      </c>
      <c r="I3" s="440">
        <v>7</v>
      </c>
      <c r="J3" s="440">
        <v>8</v>
      </c>
      <c r="K3" s="440">
        <v>9</v>
      </c>
      <c r="L3" s="440">
        <v>10</v>
      </c>
      <c r="M3" s="3"/>
      <c r="N3" s="3"/>
      <c r="O3" s="3"/>
      <c r="P3" s="3"/>
      <c r="Q3" s="3"/>
      <c r="R3" s="3"/>
      <c r="S3" s="3"/>
      <c r="T3" s="3"/>
    </row>
    <row r="4" spans="1:20" ht="12" customHeight="1" thickBot="1">
      <c r="B4" s="349" t="str">
        <f>Drivers!$C$5&amp;" in mil"</f>
        <v>$ in mil</v>
      </c>
      <c r="C4" s="415">
        <v>44927</v>
      </c>
      <c r="D4" s="415">
        <v>45292</v>
      </c>
      <c r="E4" s="415">
        <v>45658</v>
      </c>
      <c r="F4" s="415">
        <v>46023</v>
      </c>
      <c r="G4" s="415">
        <v>46388</v>
      </c>
      <c r="H4" s="415">
        <v>46753</v>
      </c>
      <c r="I4" s="415">
        <v>47119</v>
      </c>
      <c r="J4" s="415">
        <v>47484</v>
      </c>
      <c r="K4" s="415">
        <v>47849</v>
      </c>
      <c r="L4" s="415">
        <v>48214</v>
      </c>
      <c r="M4" s="3"/>
      <c r="N4" s="3"/>
      <c r="O4" s="3"/>
      <c r="P4" s="3"/>
      <c r="Q4" s="3"/>
      <c r="R4" s="3"/>
      <c r="S4" s="3"/>
      <c r="T4" s="3"/>
    </row>
    <row r="5" spans="1:20" ht="12" customHeight="1">
      <c r="B5" s="3" t="s">
        <v>97</v>
      </c>
      <c r="C5" s="360">
        <f>'Future CashFlows (10Y)'!D23</f>
        <v>-4125.3538104171466</v>
      </c>
      <c r="D5" s="360">
        <f>'Future CashFlows (10Y)'!E23</f>
        <v>-3722.8373955911684</v>
      </c>
      <c r="E5" s="360">
        <f>'Future CashFlows (10Y)'!F23</f>
        <v>-2930.7359835908901</v>
      </c>
      <c r="F5" s="360">
        <f>'Future CashFlows (10Y)'!G23</f>
        <v>-2138.8027019591614</v>
      </c>
      <c r="G5" s="360">
        <f>'Future CashFlows (10Y)'!H23</f>
        <v>-1353.6106209092877</v>
      </c>
      <c r="H5" s="360">
        <f>'Future CashFlows (10Y)'!I23</f>
        <v>-555.12507341606124</v>
      </c>
      <c r="I5" s="360">
        <f>'Future CashFlows (10Y)'!J23</f>
        <v>247.07641239397185</v>
      </c>
      <c r="J5" s="360">
        <f>'Future CashFlows (10Y)'!K23</f>
        <v>665.99896498342764</v>
      </c>
      <c r="K5" s="360">
        <f>'Future CashFlows (10Y)'!L23</f>
        <v>1091.4169522869065</v>
      </c>
      <c r="L5" s="360">
        <f>'Future CashFlows (10Y)'!M23</f>
        <v>1874.3867203736058</v>
      </c>
      <c r="M5" s="3"/>
      <c r="N5" s="3"/>
      <c r="O5" s="3"/>
      <c r="P5" s="3"/>
      <c r="Q5" s="3"/>
      <c r="R5" s="3"/>
      <c r="S5" s="3"/>
      <c r="T5" s="3"/>
    </row>
    <row r="6" spans="1:20" ht="12" customHeight="1">
      <c r="B6" s="250" t="s">
        <v>98</v>
      </c>
      <c r="C6" s="269">
        <f ca="1">'Cost of Equity, Debt &amp; WACC'!C29</f>
        <v>9.6211215834147629E-2</v>
      </c>
      <c r="D6" s="269">
        <f ca="1">C6</f>
        <v>9.6211215834147629E-2</v>
      </c>
      <c r="E6" s="269">
        <f ca="1">AVERAGE(F6,C6)</f>
        <v>9.2944909984520083E-2</v>
      </c>
      <c r="F6" s="225">
        <f ca="1">AVERAGE(C6,H6)</f>
        <v>8.9678604134892537E-2</v>
      </c>
      <c r="G6" s="225">
        <f ca="1">AVERAGE(F6,H6)</f>
        <v>8.6412298285264991E-2</v>
      </c>
      <c r="H6" s="225">
        <f ca="1">AVERAGE(C6,L6)</f>
        <v>8.3145992435637445E-2</v>
      </c>
      <c r="I6" s="269">
        <f ca="1">AVERAGE(H6,J6)</f>
        <v>7.9879686586009899E-2</v>
      </c>
      <c r="J6" s="269">
        <f ca="1">AVERAGE(H6,L6)</f>
        <v>7.6613380736382353E-2</v>
      </c>
      <c r="K6" s="269">
        <f ca="1">AVERAGE(J6,L6)</f>
        <v>7.3347074886754807E-2</v>
      </c>
      <c r="L6" s="269">
        <f ca="1">'Terminal Value'!$F$19</f>
        <v>7.0080769037127261E-2</v>
      </c>
      <c r="M6" s="3"/>
      <c r="N6" s="3"/>
      <c r="O6" s="3"/>
      <c r="P6" s="3"/>
      <c r="Q6" s="3"/>
      <c r="R6" s="3"/>
      <c r="S6" s="3"/>
      <c r="T6" s="3"/>
    </row>
    <row r="7" spans="1:20" ht="12" customHeight="1">
      <c r="B7" s="441" t="s">
        <v>96</v>
      </c>
      <c r="C7" s="376">
        <f ca="1">C5/(1+C6)^C3</f>
        <v>-3763.2837092238765</v>
      </c>
      <c r="D7" s="376">
        <f t="shared" ref="D7:L7" ca="1" si="0">D5/(1+D6)^D3</f>
        <v>-3098.0297596245969</v>
      </c>
      <c r="E7" s="376">
        <f t="shared" ca="1" si="0"/>
        <v>-2244.8218510219604</v>
      </c>
      <c r="F7" s="376">
        <f t="shared" ca="1" si="0"/>
        <v>-1516.9701310978953</v>
      </c>
      <c r="G7" s="376">
        <f t="shared" ca="1" si="0"/>
        <v>-894.37651600609308</v>
      </c>
      <c r="H7" s="376">
        <f t="shared" ca="1" si="0"/>
        <v>-343.77070156557193</v>
      </c>
      <c r="I7" s="376">
        <f t="shared" ca="1" si="0"/>
        <v>144.27918616498224</v>
      </c>
      <c r="J7" s="376">
        <f t="shared" ca="1" si="0"/>
        <v>368.97366404270758</v>
      </c>
      <c r="K7" s="376">
        <f t="shared" ca="1" si="0"/>
        <v>577.20369344330607</v>
      </c>
      <c r="L7" s="376">
        <f t="shared" ca="1" si="0"/>
        <v>952.12420657280609</v>
      </c>
      <c r="M7" s="17"/>
      <c r="N7" s="3"/>
      <c r="O7" s="3"/>
      <c r="P7" s="3"/>
      <c r="Q7" s="3"/>
      <c r="R7" s="3"/>
      <c r="S7" s="3"/>
      <c r="T7" s="3"/>
    </row>
    <row r="8" spans="1:20" ht="12" customHeight="1">
      <c r="M8" s="3"/>
      <c r="N8" s="3"/>
      <c r="O8" s="3"/>
      <c r="P8" s="3"/>
      <c r="Q8" s="3"/>
      <c r="R8" s="3"/>
      <c r="S8" s="3"/>
      <c r="T8" s="3"/>
    </row>
    <row r="9" spans="1:20" ht="12" customHeight="1">
      <c r="M9" s="3"/>
      <c r="N9" s="3"/>
      <c r="O9" s="3"/>
      <c r="P9" s="3"/>
      <c r="Q9" s="3"/>
      <c r="R9" s="3"/>
      <c r="S9" s="3"/>
      <c r="T9" s="3"/>
    </row>
    <row r="10" spans="1:20" ht="12" customHeight="1">
      <c r="B10" s="247" t="s">
        <v>103</v>
      </c>
      <c r="C10" s="440"/>
      <c r="E10" s="25"/>
      <c r="F10" s="25"/>
      <c r="G10" s="25"/>
      <c r="H10" s="25"/>
      <c r="M10" s="3"/>
      <c r="N10" s="3"/>
      <c r="O10" s="3"/>
      <c r="P10" s="3"/>
      <c r="Q10" s="3"/>
      <c r="R10" s="3"/>
      <c r="S10" s="3"/>
      <c r="T10" s="3"/>
    </row>
    <row r="11" spans="1:20" ht="12" customHeight="1" thickBot="1">
      <c r="A11" s="3"/>
      <c r="B11" s="349" t="str">
        <f>Drivers!$C$5&amp;" in mil"</f>
        <v>$ in mil</v>
      </c>
      <c r="C11" s="415"/>
      <c r="E11" s="28"/>
      <c r="F11" s="28"/>
      <c r="G11" s="28"/>
      <c r="H11" s="28"/>
      <c r="L11" s="126"/>
      <c r="N11" s="3"/>
      <c r="O11" s="3"/>
      <c r="P11" s="3"/>
      <c r="Q11" s="3"/>
      <c r="R11" s="3"/>
      <c r="S11" s="3"/>
      <c r="T11" s="3"/>
    </row>
    <row r="12" spans="1:20" ht="12" customHeight="1">
      <c r="A12" s="3"/>
      <c r="B12" s="25" t="s">
        <v>94</v>
      </c>
      <c r="C12" s="377">
        <f ca="1">SUM(C7:L7)</f>
        <v>-9818.6719183161968</v>
      </c>
      <c r="E12" s="60"/>
      <c r="F12" s="60"/>
      <c r="G12" s="60"/>
      <c r="H12" s="60"/>
      <c r="I12" s="25"/>
      <c r="J12" s="25"/>
      <c r="K12" s="25"/>
      <c r="L12" s="3"/>
      <c r="M12" s="3"/>
      <c r="N12" s="3"/>
      <c r="O12" s="3"/>
      <c r="P12" s="3"/>
      <c r="Q12" s="3"/>
      <c r="R12" s="3"/>
      <c r="S12" s="3"/>
      <c r="T12" s="3"/>
    </row>
    <row r="13" spans="1:20" ht="12" customHeight="1">
      <c r="A13" s="3"/>
      <c r="B13" s="25" t="s">
        <v>68</v>
      </c>
      <c r="C13" s="377">
        <f ca="1">'Terminal Value'!$C$12</f>
        <v>36556.642904995526</v>
      </c>
      <c r="D13" s="25"/>
      <c r="E13" s="20"/>
      <c r="F13" s="155"/>
      <c r="G13" s="443"/>
      <c r="H13" s="125"/>
      <c r="I13" s="125"/>
      <c r="J13" s="125"/>
      <c r="K13" s="125"/>
      <c r="L13" s="125"/>
      <c r="M13" s="125"/>
      <c r="N13" s="125"/>
      <c r="O13" s="125"/>
      <c r="P13" s="125"/>
      <c r="Q13" s="3"/>
      <c r="R13" s="3"/>
      <c r="S13" s="3"/>
      <c r="T13" s="3"/>
    </row>
    <row r="14" spans="1:20" s="22" customFormat="1" ht="12" customHeight="1">
      <c r="A14" s="21"/>
      <c r="B14" s="25" t="s">
        <v>88</v>
      </c>
      <c r="C14" s="377">
        <f ca="1">C13/(1+L6)^L3</f>
        <v>18569.521562736307</v>
      </c>
      <c r="D14" s="34"/>
      <c r="E14" s="20"/>
      <c r="F14" s="155"/>
      <c r="G14" s="464"/>
      <c r="H14" s="455"/>
      <c r="I14" s="360"/>
      <c r="J14" s="455"/>
      <c r="K14" s="455"/>
      <c r="L14" s="360"/>
      <c r="M14" s="360"/>
      <c r="N14" s="360"/>
      <c r="O14" s="360"/>
      <c r="P14" s="360"/>
      <c r="Q14" s="21"/>
      <c r="R14" s="21"/>
      <c r="S14" s="21"/>
      <c r="T14" s="21"/>
    </row>
    <row r="15" spans="1:20" ht="12" customHeight="1">
      <c r="A15" s="3"/>
      <c r="B15" s="449" t="s">
        <v>99</v>
      </c>
      <c r="C15" s="450">
        <f ca="1">C14+C12</f>
        <v>8750.8496444201101</v>
      </c>
      <c r="E15" s="156"/>
      <c r="F15" s="155"/>
      <c r="G15" s="464"/>
      <c r="H15" s="455"/>
      <c r="I15" s="455"/>
      <c r="J15" s="455"/>
      <c r="K15" s="455"/>
      <c r="L15" s="455"/>
      <c r="M15" s="455"/>
      <c r="N15" s="455"/>
      <c r="O15" s="455"/>
      <c r="P15" s="455"/>
    </row>
    <row r="16" spans="1:20" ht="12" customHeight="1">
      <c r="A16" s="120"/>
      <c r="B16" s="451" t="s">
        <v>84</v>
      </c>
      <c r="C16" s="377">
        <f ca="1">'Cash &amp; Marketable Securities'!C13</f>
        <v>13957.819165409843</v>
      </c>
      <c r="E16" s="156"/>
      <c r="F16" s="155"/>
      <c r="G16" s="464"/>
      <c r="H16" s="455"/>
      <c r="I16" s="455"/>
      <c r="J16" s="455"/>
      <c r="K16" s="455"/>
      <c r="L16" s="455"/>
      <c r="M16" s="455"/>
      <c r="N16" s="455"/>
      <c r="O16" s="455"/>
      <c r="P16" s="455"/>
    </row>
    <row r="17" spans="1:20" ht="12" customHeight="1">
      <c r="A17" s="120"/>
      <c r="B17" s="452" t="s">
        <v>93</v>
      </c>
      <c r="C17" s="377">
        <v>0</v>
      </c>
      <c r="E17" s="156"/>
      <c r="F17" s="155"/>
      <c r="G17" s="464"/>
      <c r="H17" s="455"/>
      <c r="I17" s="455"/>
      <c r="J17" s="455"/>
      <c r="K17" s="455"/>
      <c r="L17" s="455"/>
      <c r="M17" s="455"/>
      <c r="N17" s="455"/>
      <c r="O17" s="455"/>
      <c r="P17" s="455"/>
    </row>
    <row r="18" spans="1:20" ht="12" customHeight="1">
      <c r="A18" s="120"/>
      <c r="B18" s="2" t="s">
        <v>100</v>
      </c>
      <c r="C18" s="455">
        <v>0</v>
      </c>
      <c r="D18" s="25"/>
      <c r="E18" s="156"/>
      <c r="F18" s="155"/>
      <c r="G18" s="464"/>
      <c r="H18" s="455"/>
      <c r="I18" s="455"/>
      <c r="J18" s="455"/>
      <c r="K18" s="455"/>
      <c r="L18" s="455"/>
      <c r="M18" s="455"/>
      <c r="N18" s="455"/>
      <c r="O18" s="455"/>
      <c r="P18" s="455"/>
    </row>
    <row r="19" spans="1:20" ht="12" customHeight="1">
      <c r="A19" s="6"/>
      <c r="B19" s="449" t="s">
        <v>91</v>
      </c>
      <c r="C19" s="450">
        <f ca="1">SUM(C15:C18)</f>
        <v>22708.668809829953</v>
      </c>
      <c r="D19" s="25"/>
      <c r="E19" s="20"/>
      <c r="F19" s="157"/>
      <c r="G19" s="464"/>
      <c r="H19" s="455"/>
      <c r="I19" s="455"/>
      <c r="J19" s="455"/>
      <c r="K19" s="455"/>
      <c r="L19" s="455"/>
      <c r="M19" s="455"/>
      <c r="N19" s="455"/>
      <c r="O19" s="455"/>
      <c r="P19" s="455"/>
      <c r="Q19" s="25"/>
      <c r="R19" s="3"/>
      <c r="S19" s="3"/>
      <c r="T19" s="3"/>
    </row>
    <row r="20" spans="1:20" ht="12" customHeight="1">
      <c r="A20" s="6"/>
      <c r="B20" s="25" t="s">
        <v>90</v>
      </c>
      <c r="C20" s="434">
        <f ca="1">-'Bottom Up Beta'!C14</f>
        <v>-14301.676391903666</v>
      </c>
      <c r="D20" s="25"/>
      <c r="E20" s="20"/>
      <c r="F20" s="157"/>
      <c r="G20" s="464"/>
      <c r="H20" s="455"/>
      <c r="I20" s="455"/>
      <c r="J20" s="455"/>
      <c r="K20" s="455"/>
      <c r="L20" s="455"/>
      <c r="M20" s="455"/>
      <c r="N20" s="455"/>
      <c r="O20" s="455"/>
      <c r="P20" s="455"/>
      <c r="Q20" s="3"/>
      <c r="R20" s="3"/>
      <c r="S20" s="3"/>
      <c r="T20" s="3"/>
    </row>
    <row r="21" spans="1:20" ht="12" customHeight="1">
      <c r="A21" s="6"/>
      <c r="B21" s="25" t="s">
        <v>403</v>
      </c>
      <c r="C21" s="434">
        <f>Drivers!I10</f>
        <v>-514</v>
      </c>
      <c r="D21" s="27"/>
      <c r="E21" s="20"/>
      <c r="F21" s="157"/>
      <c r="G21" s="464"/>
      <c r="H21" s="455"/>
      <c r="I21" s="455"/>
      <c r="J21" s="455"/>
      <c r="K21" s="455"/>
      <c r="L21" s="455"/>
      <c r="M21" s="455"/>
      <c r="N21" s="455"/>
      <c r="O21" s="455"/>
      <c r="P21" s="455"/>
      <c r="Q21" s="3"/>
      <c r="R21" s="3"/>
      <c r="S21" s="3"/>
      <c r="T21" s="3"/>
    </row>
    <row r="22" spans="1:20" ht="12" customHeight="1">
      <c r="A22" s="6"/>
      <c r="B22" s="449" t="s">
        <v>92</v>
      </c>
      <c r="C22" s="361">
        <f ca="1">SUM(C19:C21)</f>
        <v>7892.9924179262871</v>
      </c>
      <c r="D22" s="25"/>
      <c r="E22" s="20"/>
      <c r="F22" s="157"/>
      <c r="G22" s="464"/>
      <c r="H22" s="455"/>
      <c r="I22" s="455"/>
      <c r="J22" s="455"/>
      <c r="K22" s="455"/>
      <c r="L22" s="455"/>
      <c r="M22" s="455"/>
      <c r="N22" s="455"/>
      <c r="O22" s="455"/>
      <c r="P22" s="455"/>
      <c r="Q22" s="3"/>
      <c r="R22" s="3"/>
      <c r="S22" s="3"/>
      <c r="T22" s="3"/>
    </row>
    <row r="23" spans="1:20" s="24" customFormat="1" ht="12" customHeight="1">
      <c r="A23" s="121"/>
      <c r="B23" s="2" t="s">
        <v>101</v>
      </c>
      <c r="C23" s="434">
        <f>'Future Value (Equity Options)'!G6</f>
        <v>68</v>
      </c>
      <c r="D23" s="25"/>
      <c r="E23" s="23"/>
      <c r="F23" s="23"/>
      <c r="G23" s="23"/>
      <c r="H23" s="158"/>
      <c r="I23" s="28"/>
      <c r="J23" s="28"/>
      <c r="K23" s="28"/>
      <c r="L23" s="23"/>
      <c r="M23" s="23"/>
      <c r="N23" s="23"/>
      <c r="O23" s="23"/>
      <c r="P23" s="23"/>
      <c r="Q23" s="23"/>
      <c r="R23" s="23"/>
      <c r="S23" s="23"/>
      <c r="T23" s="23"/>
    </row>
    <row r="24" spans="1:20" ht="12" customHeight="1">
      <c r="A24" s="24"/>
      <c r="B24" s="449" t="s">
        <v>102</v>
      </c>
      <c r="C24" s="453">
        <f ca="1">C22-C23</f>
        <v>7824.9924179262871</v>
      </c>
      <c r="D24" s="168"/>
      <c r="I24" s="3"/>
      <c r="J24" s="3"/>
      <c r="K24" s="3"/>
      <c r="L24" s="3"/>
      <c r="M24" s="3"/>
      <c r="N24" s="3"/>
      <c r="O24" s="3"/>
      <c r="P24" s="3"/>
      <c r="Q24" s="3"/>
      <c r="R24" s="3"/>
      <c r="S24" s="3"/>
      <c r="T24" s="3"/>
    </row>
    <row r="25" spans="1:20" ht="12" customHeight="1">
      <c r="B25" s="2" t="s">
        <v>38</v>
      </c>
      <c r="C25" s="462">
        <f>Drivers!C17</f>
        <v>594.9</v>
      </c>
      <c r="D25" s="153"/>
      <c r="I25" s="25"/>
      <c r="J25" s="25"/>
      <c r="K25" s="13"/>
      <c r="L25" s="3"/>
      <c r="M25" s="3"/>
      <c r="N25" s="3"/>
      <c r="O25" s="3"/>
      <c r="P25" s="3"/>
      <c r="Q25" s="3"/>
      <c r="R25" s="3"/>
      <c r="S25" s="3"/>
      <c r="T25" s="3"/>
    </row>
    <row r="26" spans="1:20" ht="12" customHeight="1">
      <c r="B26" s="324" t="s">
        <v>103</v>
      </c>
      <c r="C26" s="454">
        <f ca="1">C24/C25</f>
        <v>13.153458426502416</v>
      </c>
      <c r="D26" s="28"/>
      <c r="I26" s="25"/>
      <c r="J26" s="25"/>
      <c r="K26" s="5"/>
      <c r="L26" s="3"/>
      <c r="M26" s="3"/>
      <c r="N26" s="3"/>
      <c r="O26" s="3"/>
      <c r="P26" s="3"/>
      <c r="Q26" s="3"/>
      <c r="R26" s="3"/>
      <c r="S26" s="3"/>
      <c r="T26" s="3"/>
    </row>
    <row r="27" spans="1:20" ht="12" customHeight="1">
      <c r="D27" s="3"/>
      <c r="I27" s="25"/>
      <c r="J27" s="25"/>
      <c r="K27" s="5"/>
      <c r="L27" s="3"/>
      <c r="M27" s="3"/>
      <c r="N27" s="3"/>
      <c r="O27" s="3"/>
      <c r="P27" s="3"/>
      <c r="Q27" s="3"/>
      <c r="R27" s="3"/>
      <c r="S27" s="3"/>
      <c r="T27" s="3"/>
    </row>
    <row r="28" spans="1:20" ht="12" customHeight="1">
      <c r="D28" s="3"/>
      <c r="E28" s="124"/>
      <c r="F28" s="125"/>
      <c r="G28" s="13"/>
      <c r="H28" s="5"/>
      <c r="I28" s="5"/>
      <c r="J28" s="5"/>
      <c r="K28" s="5"/>
      <c r="L28" s="3"/>
      <c r="M28" s="3"/>
      <c r="N28" s="3"/>
      <c r="O28" s="3"/>
      <c r="P28" s="3"/>
      <c r="Q28" s="3"/>
      <c r="R28" s="3"/>
      <c r="S28" s="3"/>
      <c r="T28" s="3"/>
    </row>
    <row r="29" spans="1:20" ht="12" customHeight="1">
      <c r="D29" s="3"/>
      <c r="E29" s="35"/>
      <c r="F29" s="98"/>
      <c r="G29" s="13"/>
      <c r="H29" s="5"/>
      <c r="I29" s="5"/>
      <c r="J29" s="5"/>
      <c r="K29" s="5"/>
      <c r="L29" s="3"/>
      <c r="M29" s="3"/>
      <c r="N29" s="3"/>
      <c r="O29" s="3"/>
      <c r="P29" s="3"/>
      <c r="Q29" s="3"/>
      <c r="R29" s="3"/>
      <c r="S29" s="3"/>
      <c r="T29" s="3"/>
    </row>
    <row r="30" spans="1:20" ht="12" customHeight="1">
      <c r="D30" s="3"/>
      <c r="E30" s="35"/>
      <c r="F30" s="92"/>
      <c r="G30" s="3"/>
      <c r="H30" s="3"/>
      <c r="I30" s="3"/>
      <c r="J30" s="3"/>
      <c r="K30" s="3"/>
      <c r="L30" s="3"/>
      <c r="M30" s="3"/>
      <c r="N30" s="3"/>
      <c r="O30" s="3"/>
      <c r="P30" s="3"/>
      <c r="Q30" s="3"/>
      <c r="R30" s="3"/>
      <c r="S30" s="3"/>
      <c r="T30" s="3"/>
    </row>
    <row r="31" spans="1:20" ht="12" customHeight="1">
      <c r="E31" s="27"/>
      <c r="F31" s="90"/>
      <c r="G31" s="3"/>
      <c r="H31" s="3"/>
      <c r="I31" s="3"/>
      <c r="J31" s="3"/>
      <c r="K31" s="3"/>
      <c r="L31" s="3"/>
      <c r="M31" s="3"/>
    </row>
    <row r="32" spans="1:20" ht="12" customHeight="1">
      <c r="E32" s="3"/>
      <c r="F32" s="90"/>
      <c r="G32" s="3"/>
      <c r="H32" s="3"/>
      <c r="I32" s="3"/>
      <c r="J32" s="3"/>
      <c r="K32" s="3"/>
      <c r="L32" s="3"/>
      <c r="M32" s="3"/>
    </row>
    <row r="33" spans="5:13" ht="12" customHeight="1">
      <c r="E33" s="3"/>
      <c r="F33" s="123"/>
    </row>
    <row r="34" spans="5:13" ht="12" customHeight="1">
      <c r="E34" s="3"/>
      <c r="F34" s="51"/>
      <c r="G34" s="7"/>
      <c r="K34" s="9"/>
    </row>
    <row r="35" spans="5:13" ht="12" customHeight="1">
      <c r="E35" s="25"/>
      <c r="F35" s="122"/>
      <c r="G35" s="10"/>
      <c r="K35" s="7"/>
      <c r="M35" s="7"/>
    </row>
    <row r="36" spans="5:13" ht="12" customHeight="1">
      <c r="E36" s="25"/>
      <c r="M36" s="7"/>
    </row>
    <row r="37" spans="5:13" ht="12" customHeight="1">
      <c r="E37" s="25"/>
      <c r="F37" s="5"/>
      <c r="G37" s="14"/>
      <c r="K37" s="4"/>
    </row>
    <row r="40" spans="5:13" ht="12" customHeight="1">
      <c r="G40" s="11"/>
    </row>
    <row r="41" spans="5:13" ht="12" customHeight="1">
      <c r="G41" s="7"/>
    </row>
    <row r="42" spans="5:13" ht="12" customHeight="1">
      <c r="G42" s="11"/>
    </row>
    <row r="44" spans="5:13" ht="12" customHeight="1">
      <c r="G44" s="14"/>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415</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0" style="2" bestFit="1" customWidth="1"/>
    <col min="14" max="14" width="11" style="2" customWidth="1"/>
    <col min="15" max="15" width="11.28515625" style="2" customWidth="1"/>
    <col min="16" max="16" width="10" style="2" bestFit="1" customWidth="1"/>
    <col min="17" max="19" width="9.140625" style="2"/>
    <col min="20" max="20" width="10.140625" style="2" bestFit="1" customWidth="1"/>
    <col min="21" max="16384" width="9.140625" style="2"/>
  </cols>
  <sheetData>
    <row r="1" spans="1:20" ht="16.5" customHeight="1">
      <c r="B1" s="15" t="s">
        <v>409</v>
      </c>
    </row>
    <row r="3" spans="1:20" ht="12" customHeight="1">
      <c r="B3" s="247" t="s">
        <v>409</v>
      </c>
      <c r="C3" s="440">
        <v>1</v>
      </c>
      <c r="D3" s="440">
        <v>1</v>
      </c>
      <c r="E3" s="440">
        <v>2</v>
      </c>
      <c r="F3" s="440">
        <v>3</v>
      </c>
      <c r="G3" s="440">
        <v>4</v>
      </c>
      <c r="H3" s="440">
        <v>5</v>
      </c>
      <c r="I3" s="440">
        <v>6</v>
      </c>
      <c r="J3" s="440">
        <v>7</v>
      </c>
      <c r="K3" s="440">
        <v>8</v>
      </c>
      <c r="L3" s="440">
        <v>9</v>
      </c>
      <c r="M3" s="440">
        <v>10</v>
      </c>
      <c r="N3" s="3"/>
      <c r="O3" s="470" t="s">
        <v>412</v>
      </c>
      <c r="P3" s="440">
        <v>10</v>
      </c>
      <c r="Q3" s="3"/>
    </row>
    <row r="4" spans="1:20" ht="12" customHeight="1" thickBot="1">
      <c r="B4" s="349" t="str">
        <f>Drivers!$C$5&amp;" in mil"</f>
        <v>$ in mil</v>
      </c>
      <c r="C4" s="414">
        <v>44562</v>
      </c>
      <c r="D4" s="415">
        <v>44927</v>
      </c>
      <c r="E4" s="415">
        <v>45292</v>
      </c>
      <c r="F4" s="415">
        <v>45658</v>
      </c>
      <c r="G4" s="415">
        <v>46023</v>
      </c>
      <c r="H4" s="415">
        <v>46388</v>
      </c>
      <c r="I4" s="415">
        <v>46753</v>
      </c>
      <c r="J4" s="415">
        <v>47119</v>
      </c>
      <c r="K4" s="415">
        <v>47484</v>
      </c>
      <c r="L4" s="415">
        <v>47849</v>
      </c>
      <c r="M4" s="415">
        <v>48214</v>
      </c>
      <c r="O4" s="415"/>
      <c r="P4" s="415"/>
      <c r="Q4" s="3"/>
    </row>
    <row r="5" spans="1:20" ht="12" customHeight="1">
      <c r="B5" s="3" t="s">
        <v>4</v>
      </c>
      <c r="C5" s="360">
        <f>'Future CashFlows (10Y)'!C5</f>
        <v>66608</v>
      </c>
      <c r="D5" s="360">
        <f>C5*(1+D6)</f>
        <v>67793.622400000007</v>
      </c>
      <c r="E5" s="360">
        <f t="shared" ref="E5:M5" si="0">D5*(1+E6)</f>
        <v>69000.348878720004</v>
      </c>
      <c r="F5" s="360">
        <f t="shared" si="0"/>
        <v>70228.555088761219</v>
      </c>
      <c r="G5" s="360">
        <f t="shared" si="0"/>
        <v>71478.623369341178</v>
      </c>
      <c r="H5" s="360">
        <f t="shared" si="0"/>
        <v>72750.942865315446</v>
      </c>
      <c r="I5" s="360">
        <f t="shared" si="0"/>
        <v>74045.909648318062</v>
      </c>
      <c r="J5" s="360">
        <f t="shared" si="0"/>
        <v>75363.92684005812</v>
      </c>
      <c r="K5" s="360">
        <f t="shared" si="0"/>
        <v>76705.404737811157</v>
      </c>
      <c r="L5" s="360">
        <f t="shared" si="0"/>
        <v>78070.760942144203</v>
      </c>
      <c r="M5" s="360">
        <f t="shared" si="0"/>
        <v>79460.420486914372</v>
      </c>
      <c r="O5" s="92" t="s">
        <v>414</v>
      </c>
      <c r="P5" s="92">
        <f>'Future CashFlows (10Y)'!P6</f>
        <v>1.78E-2</v>
      </c>
      <c r="Q5" s="3"/>
    </row>
    <row r="6" spans="1:20" ht="12" customHeight="1">
      <c r="B6" s="465" t="s">
        <v>211</v>
      </c>
      <c r="C6" s="269"/>
      <c r="D6" s="269">
        <f t="shared" ref="D6:M6" si="1">$P$5</f>
        <v>1.78E-2</v>
      </c>
      <c r="E6" s="269">
        <f t="shared" si="1"/>
        <v>1.78E-2</v>
      </c>
      <c r="F6" s="269">
        <f t="shared" si="1"/>
        <v>1.78E-2</v>
      </c>
      <c r="G6" s="269">
        <f t="shared" si="1"/>
        <v>1.78E-2</v>
      </c>
      <c r="H6" s="269">
        <f t="shared" si="1"/>
        <v>1.78E-2</v>
      </c>
      <c r="I6" s="269">
        <f t="shared" si="1"/>
        <v>1.78E-2</v>
      </c>
      <c r="J6" s="269">
        <f t="shared" si="1"/>
        <v>1.78E-2</v>
      </c>
      <c r="K6" s="269">
        <f t="shared" si="1"/>
        <v>1.78E-2</v>
      </c>
      <c r="L6" s="269">
        <f t="shared" si="1"/>
        <v>1.78E-2</v>
      </c>
      <c r="M6" s="269">
        <f t="shared" si="1"/>
        <v>1.78E-2</v>
      </c>
      <c r="N6" s="3"/>
      <c r="O6" s="92" t="s">
        <v>114</v>
      </c>
      <c r="P6" s="92">
        <f>'Future CashFlows (10Y)'!M8</f>
        <v>4.41E-2</v>
      </c>
      <c r="Q6" s="3"/>
    </row>
    <row r="7" spans="1:20" ht="12" customHeight="1">
      <c r="B7" s="2" t="s">
        <v>405</v>
      </c>
      <c r="C7" s="11">
        <f>'Future CashFlows (10Y)'!C8</f>
        <v>-5.9322380399789862E-2</v>
      </c>
      <c r="D7" s="11">
        <f>AVERAGE(C7,E7)</f>
        <v>-5.2858481624803E-2</v>
      </c>
      <c r="E7" s="11">
        <f>AVERAGE(C7,F7)</f>
        <v>-4.6394582849816131E-2</v>
      </c>
      <c r="F7" s="11">
        <f>AVERAGE(C7,H7)</f>
        <v>-3.34667852998424E-2</v>
      </c>
      <c r="G7" s="11">
        <f>AVERAGE(F7,H7)</f>
        <v>-2.0538987749868665E-2</v>
      </c>
      <c r="H7" s="11">
        <f>AVERAGE(C7,M7)</f>
        <v>-7.6111901998949308E-3</v>
      </c>
      <c r="I7" s="11">
        <f>AVERAGE(H7,J7)</f>
        <v>5.316607350078802E-3</v>
      </c>
      <c r="J7" s="11">
        <f>AVERAGE(H7,M7)</f>
        <v>1.8244404900052535E-2</v>
      </c>
      <c r="K7" s="11">
        <f>AVERAGE(J7,L7)</f>
        <v>2.47083036750394E-2</v>
      </c>
      <c r="L7" s="11">
        <f>AVERAGE(J7,M7)</f>
        <v>3.1172202450026269E-2</v>
      </c>
      <c r="M7" s="466">
        <f>P6</f>
        <v>4.41E-2</v>
      </c>
      <c r="N7" s="3"/>
      <c r="O7" s="250" t="s">
        <v>86</v>
      </c>
      <c r="P7" s="321">
        <f>'Future CashFlows (10Y)'!C16</f>
        <v>1.7434937669731374</v>
      </c>
      <c r="Q7" s="3"/>
    </row>
    <row r="8" spans="1:20" ht="12" customHeight="1">
      <c r="B8" s="2" t="s">
        <v>408</v>
      </c>
      <c r="D8" s="455">
        <f>'Future CashFlows (10Y)'!D9</f>
        <v>-299.56635455788455</v>
      </c>
      <c r="E8" s="455">
        <f>'Future CashFlows (10Y)'!E9</f>
        <v>-275.3986191419807</v>
      </c>
      <c r="F8" s="455">
        <f>'Future CashFlows (10Y)'!F9</f>
        <v>-250.27828860854348</v>
      </c>
      <c r="G8" s="455">
        <f>'Future CashFlows (10Y)'!G9</f>
        <v>-224.17915558999582</v>
      </c>
      <c r="H8" s="455">
        <f>'Future CashFlows (10Y)'!H9</f>
        <v>-197.07438240274286</v>
      </c>
      <c r="I8" s="455">
        <f>'Future CashFlows (10Y)'!I9</f>
        <v>-168.93648692646568</v>
      </c>
      <c r="J8" s="455">
        <f>'Future CashFlows (10Y)'!J9</f>
        <v>-139.73732818069277</v>
      </c>
      <c r="K8" s="455">
        <f>'Future CashFlows (10Y)'!K9</f>
        <v>-109.44809159235199</v>
      </c>
      <c r="L8" s="455">
        <f>'Future CashFlows (10Y)'!L9</f>
        <v>-78.0392739478756</v>
      </c>
      <c r="M8" s="455">
        <f>'Future CashFlows (10Y)'!M9</f>
        <v>-79.424812992897188</v>
      </c>
      <c r="O8" s="35" t="s">
        <v>5</v>
      </c>
      <c r="P8" s="92">
        <f ca="1">'Fair Value of Share'!L6</f>
        <v>7.0080769037127261E-2</v>
      </c>
      <c r="Q8" s="3"/>
    </row>
    <row r="9" spans="1:20" ht="12" customHeight="1">
      <c r="B9" s="467" t="s">
        <v>736</v>
      </c>
      <c r="C9" s="381">
        <f>(C5*C7)</f>
        <v>-3951.3451136692033</v>
      </c>
      <c r="D9" s="381">
        <f t="shared" ref="D9:L9" si="2">(D5*D7)+D8</f>
        <v>-3883.0342984671179</v>
      </c>
      <c r="E9" s="381">
        <f t="shared" si="2"/>
        <v>-3476.6410218619735</v>
      </c>
      <c r="F9" s="381">
        <f t="shared" si="2"/>
        <v>-2600.6022636822695</v>
      </c>
      <c r="G9" s="381">
        <f t="shared" si="2"/>
        <v>-1692.2777253503705</v>
      </c>
      <c r="H9" s="381">
        <f t="shared" si="2"/>
        <v>-750.79564577234783</v>
      </c>
      <c r="I9" s="381">
        <f t="shared" si="2"/>
        <v>224.736540553053</v>
      </c>
      <c r="J9" s="381">
        <f t="shared" si="2"/>
        <v>1235.2326679472644</v>
      </c>
      <c r="K9" s="381">
        <f t="shared" si="2"/>
        <v>1785.812342186292</v>
      </c>
      <c r="L9" s="381">
        <f t="shared" si="2"/>
        <v>2355.5982915682471</v>
      </c>
      <c r="M9" s="381">
        <f>(M5*M7)+M8</f>
        <v>3424.7797304800265</v>
      </c>
      <c r="N9" s="3"/>
      <c r="O9" s="35"/>
      <c r="P9" s="35"/>
      <c r="Q9" s="3"/>
    </row>
    <row r="10" spans="1:20" ht="12" customHeight="1">
      <c r="B10" s="2" t="s">
        <v>256</v>
      </c>
      <c r="C10" s="269">
        <v>9.6799999999999997E-2</v>
      </c>
      <c r="D10" s="269">
        <f>AVERAGE(C10,E10)</f>
        <v>0.11223744677582083</v>
      </c>
      <c r="E10" s="269">
        <f>AVERAGE(C10,G10)</f>
        <v>0.12767489355164166</v>
      </c>
      <c r="F10" s="269">
        <f>AVERAGE(E10,G10)</f>
        <v>0.14311234032746251</v>
      </c>
      <c r="G10" s="269">
        <f>AVERAGE(C10,M10)</f>
        <v>0.15854978710328332</v>
      </c>
      <c r="H10" s="269">
        <f>AVERAGE(G10,I10)</f>
        <v>0.16626851049119373</v>
      </c>
      <c r="I10" s="269">
        <f>AVERAGE(G10,J10)</f>
        <v>0.17398723387910414</v>
      </c>
      <c r="J10" s="269">
        <f>AVERAGE(G10,M10)</f>
        <v>0.18942468065492496</v>
      </c>
      <c r="K10" s="269">
        <f>AVERAGE(J10,L10)</f>
        <v>0.19714340404283537</v>
      </c>
      <c r="L10" s="269">
        <f>AVERAGE(J10,M10)</f>
        <v>0.20486212743074578</v>
      </c>
      <c r="M10" s="269">
        <f>P10</f>
        <v>0.22029957420656662</v>
      </c>
      <c r="O10" s="35" t="s">
        <v>392</v>
      </c>
      <c r="P10" s="92">
        <f>'Risk Free Rate &amp; ERP'!H20</f>
        <v>0.22029957420656662</v>
      </c>
      <c r="Q10" s="3"/>
    </row>
    <row r="11" spans="1:20" ht="12" customHeight="1">
      <c r="B11" s="467" t="s">
        <v>737</v>
      </c>
      <c r="C11" s="612">
        <f>C9*(1-C10)</f>
        <v>-3568.8549066660244</v>
      </c>
      <c r="D11" s="612">
        <f t="shared" ref="D11:M11" si="3">D9*(1-D10)</f>
        <v>-3447.212443064228</v>
      </c>
      <c r="E11" s="612">
        <f t="shared" si="3"/>
        <v>-3032.7612494784753</v>
      </c>
      <c r="F11" s="612">
        <f t="shared" si="3"/>
        <v>-2228.4239874658028</v>
      </c>
      <c r="G11" s="612">
        <f t="shared" si="3"/>
        <v>-1423.9674522764408</v>
      </c>
      <c r="H11" s="612">
        <f t="shared" si="3"/>
        <v>-625.96197206650561</v>
      </c>
      <c r="I11" s="612">
        <f t="shared" si="3"/>
        <v>185.63525151066818</v>
      </c>
      <c r="J11" s="612">
        <f t="shared" si="3"/>
        <v>1001.249114286823</v>
      </c>
      <c r="K11" s="612">
        <f t="shared" si="3"/>
        <v>1433.7512180659776</v>
      </c>
      <c r="L11" s="612">
        <f t="shared" si="3"/>
        <v>1873.0254141853457</v>
      </c>
      <c r="M11" s="612">
        <f t="shared" si="3"/>
        <v>2670.3022141039964</v>
      </c>
      <c r="O11" s="3"/>
      <c r="P11" s="3"/>
      <c r="Q11" s="3"/>
    </row>
    <row r="12" spans="1:20" ht="12" customHeight="1">
      <c r="B12" s="250" t="s">
        <v>71</v>
      </c>
      <c r="C12" s="269"/>
      <c r="D12" s="611">
        <f t="shared" ref="D12:M12" si="4">$P$7</f>
        <v>1.7434937669731374</v>
      </c>
      <c r="E12" s="611">
        <f t="shared" si="4"/>
        <v>1.7434937669731374</v>
      </c>
      <c r="F12" s="611">
        <f t="shared" si="4"/>
        <v>1.7434937669731374</v>
      </c>
      <c r="G12" s="611">
        <f t="shared" si="4"/>
        <v>1.7434937669731374</v>
      </c>
      <c r="H12" s="611">
        <f t="shared" si="4"/>
        <v>1.7434937669731374</v>
      </c>
      <c r="I12" s="611">
        <f t="shared" si="4"/>
        <v>1.7434937669731374</v>
      </c>
      <c r="J12" s="611">
        <f t="shared" si="4"/>
        <v>1.7434937669731374</v>
      </c>
      <c r="K12" s="611">
        <f t="shared" si="4"/>
        <v>1.7434937669731374</v>
      </c>
      <c r="L12" s="611">
        <f t="shared" si="4"/>
        <v>1.7434937669731374</v>
      </c>
      <c r="M12" s="611">
        <f t="shared" si="4"/>
        <v>1.7434937669731374</v>
      </c>
      <c r="N12" s="3"/>
      <c r="O12" s="3" t="s">
        <v>413</v>
      </c>
      <c r="P12" s="431">
        <f>2%</f>
        <v>0.02</v>
      </c>
      <c r="Q12" s="3"/>
    </row>
    <row r="13" spans="1:20" ht="12" customHeight="1">
      <c r="A13" s="3"/>
      <c r="B13" s="3" t="s">
        <v>50</v>
      </c>
      <c r="C13" s="375"/>
      <c r="D13" s="360">
        <f t="shared" ref="D13:M13" si="5">(D5-C5)/D12</f>
        <v>680.02675000000431</v>
      </c>
      <c r="E13" s="360">
        <f t="shared" si="5"/>
        <v>692.13122614999804</v>
      </c>
      <c r="F13" s="360">
        <f t="shared" si="5"/>
        <v>704.4511619754694</v>
      </c>
      <c r="G13" s="360">
        <f t="shared" si="5"/>
        <v>716.9903926586386</v>
      </c>
      <c r="H13" s="360">
        <f t="shared" si="5"/>
        <v>729.75282164795476</v>
      </c>
      <c r="I13" s="360">
        <f t="shared" si="5"/>
        <v>742.74242187329116</v>
      </c>
      <c r="J13" s="360">
        <f t="shared" si="5"/>
        <v>755.96323698263359</v>
      </c>
      <c r="K13" s="360">
        <f t="shared" si="5"/>
        <v>769.41938260092752</v>
      </c>
      <c r="L13" s="360">
        <f t="shared" si="5"/>
        <v>783.11504761122683</v>
      </c>
      <c r="M13" s="360">
        <f t="shared" si="5"/>
        <v>797.05449545870397</v>
      </c>
      <c r="N13" s="3"/>
      <c r="O13" s="125" t="s">
        <v>74</v>
      </c>
      <c r="P13" s="125">
        <f>'Terminal Value'!C9</f>
        <v>5.8590262079765303E-2</v>
      </c>
      <c r="Q13" s="3"/>
    </row>
    <row r="14" spans="1:20" s="22" customFormat="1" ht="12" customHeight="1">
      <c r="A14" s="3"/>
      <c r="B14" s="2" t="s">
        <v>73</v>
      </c>
      <c r="C14" s="455">
        <f>'Expected Growth Rate'!C8</f>
        <v>38203.75</v>
      </c>
      <c r="D14" s="455">
        <f>C14+D13</f>
        <v>38883.776750000005</v>
      </c>
      <c r="E14" s="455">
        <f t="shared" ref="E14:M14" si="6">D14+E13</f>
        <v>39575.907976150003</v>
      </c>
      <c r="F14" s="455">
        <f t="shared" si="6"/>
        <v>40280.359138125474</v>
      </c>
      <c r="G14" s="455">
        <f t="shared" si="6"/>
        <v>40997.349530784115</v>
      </c>
      <c r="H14" s="455">
        <f t="shared" si="6"/>
        <v>41727.10235243207</v>
      </c>
      <c r="I14" s="455">
        <f t="shared" si="6"/>
        <v>42469.844774305362</v>
      </c>
      <c r="J14" s="455">
        <f t="shared" si="6"/>
        <v>43225.808011287998</v>
      </c>
      <c r="K14" s="455">
        <f t="shared" si="6"/>
        <v>43995.227393888927</v>
      </c>
      <c r="L14" s="455">
        <f t="shared" si="6"/>
        <v>44778.34244150015</v>
      </c>
      <c r="M14" s="455">
        <f t="shared" si="6"/>
        <v>45575.396936958852</v>
      </c>
      <c r="N14" s="3"/>
      <c r="O14" s="2"/>
      <c r="Q14" s="21"/>
      <c r="R14" s="21"/>
      <c r="S14" s="2"/>
      <c r="T14" s="360"/>
    </row>
    <row r="15" spans="1:20" ht="12" customHeight="1">
      <c r="A15" s="3"/>
      <c r="B15" s="2" t="s">
        <v>97</v>
      </c>
      <c r="D15" s="455">
        <f>D11-D13</f>
        <v>-4127.2391930642325</v>
      </c>
      <c r="E15" s="455">
        <f t="shared" ref="E15:M15" si="7">E11-E13</f>
        <v>-3724.8924756284732</v>
      </c>
      <c r="F15" s="455">
        <f t="shared" si="7"/>
        <v>-2932.8751494412722</v>
      </c>
      <c r="G15" s="455">
        <f t="shared" si="7"/>
        <v>-2140.9578449350793</v>
      </c>
      <c r="H15" s="455">
        <f t="shared" si="7"/>
        <v>-1355.7147937144605</v>
      </c>
      <c r="I15" s="455">
        <f t="shared" si="7"/>
        <v>-557.10717036262304</v>
      </c>
      <c r="J15" s="455">
        <f t="shared" si="7"/>
        <v>245.2858773041894</v>
      </c>
      <c r="K15" s="455">
        <f t="shared" si="7"/>
        <v>664.33183546505006</v>
      </c>
      <c r="L15" s="455">
        <f t="shared" si="7"/>
        <v>1089.9103665741188</v>
      </c>
      <c r="M15" s="455">
        <f t="shared" si="7"/>
        <v>1873.2477186452925</v>
      </c>
      <c r="N15" s="3"/>
      <c r="O15" s="22"/>
      <c r="P15" s="455"/>
    </row>
    <row r="16" spans="1:20" ht="12" customHeight="1">
      <c r="A16" s="21"/>
      <c r="B16" s="2" t="s">
        <v>410</v>
      </c>
      <c r="D16" s="11">
        <f ca="1">'Fair Value of Share'!C6</f>
        <v>9.6211215834147629E-2</v>
      </c>
      <c r="E16" s="11">
        <f ca="1">D16</f>
        <v>9.6211215834147629E-2</v>
      </c>
      <c r="F16" s="11">
        <f ca="1">AVERAGE(G16,D16)</f>
        <v>9.2944909984520083E-2</v>
      </c>
      <c r="G16" s="11">
        <f ca="1">AVERAGE(D16,I16)</f>
        <v>8.9678604134892537E-2</v>
      </c>
      <c r="H16" s="11">
        <f ca="1">AVERAGE(G16,I16)</f>
        <v>8.6412298285264991E-2</v>
      </c>
      <c r="I16" s="11">
        <f ca="1">AVERAGE(D16,M16)</f>
        <v>8.3145992435637445E-2</v>
      </c>
      <c r="J16" s="11">
        <f ca="1">AVERAGE(I16,K16)</f>
        <v>7.9879686586009899E-2</v>
      </c>
      <c r="K16" s="11">
        <f ca="1">AVERAGE(I16,M16)</f>
        <v>7.6613380736382353E-2</v>
      </c>
      <c r="L16" s="11">
        <f ca="1">AVERAGE(K16,M16)</f>
        <v>7.3347074886754807E-2</v>
      </c>
      <c r="M16" s="11">
        <f ca="1">$P$8</f>
        <v>7.0080769037127261E-2</v>
      </c>
      <c r="N16" s="125"/>
      <c r="P16" s="455"/>
    </row>
    <row r="17" spans="1:20" ht="12" customHeight="1">
      <c r="A17" s="3"/>
      <c r="B17" s="260" t="s">
        <v>411</v>
      </c>
      <c r="C17" s="260"/>
      <c r="D17" s="362">
        <f t="shared" ref="D17:M17" ca="1" si="8">D15/(1+D16)^D3</f>
        <v>-3765.0036174129668</v>
      </c>
      <c r="E17" s="362">
        <f t="shared" ca="1" si="8"/>
        <v>-3099.7399334617676</v>
      </c>
      <c r="F17" s="362">
        <f t="shared" ca="1" si="8"/>
        <v>-2246.4603630785855</v>
      </c>
      <c r="G17" s="362">
        <f t="shared" ca="1" si="8"/>
        <v>-1518.498690754061</v>
      </c>
      <c r="H17" s="362">
        <f t="shared" ca="1" si="8"/>
        <v>-895.76681445196448</v>
      </c>
      <c r="I17" s="362">
        <f t="shared" ca="1" si="8"/>
        <v>-344.9981490193457</v>
      </c>
      <c r="J17" s="362">
        <f t="shared" ca="1" si="8"/>
        <v>143.23361106110818</v>
      </c>
      <c r="K17" s="362">
        <f t="shared" ca="1" si="8"/>
        <v>368.05004866314789</v>
      </c>
      <c r="L17" s="362">
        <f t="shared" ca="1" si="8"/>
        <v>576.40692476925551</v>
      </c>
      <c r="M17" s="362">
        <f t="shared" ca="1" si="8"/>
        <v>951.54563273579163</v>
      </c>
      <c r="N17" s="360"/>
      <c r="O17" s="125"/>
      <c r="P17" s="455"/>
    </row>
    <row r="18" spans="1:20" ht="12" customHeight="1">
      <c r="A18" s="120"/>
      <c r="B18" s="22"/>
      <c r="C18" s="22"/>
      <c r="D18" s="34"/>
      <c r="E18" s="20"/>
      <c r="F18" s="155"/>
      <c r="G18" s="464"/>
      <c r="H18" s="455"/>
      <c r="I18" s="360"/>
      <c r="J18" s="455"/>
      <c r="K18" s="455"/>
      <c r="L18" s="360"/>
      <c r="M18" s="360"/>
      <c r="N18" s="455"/>
      <c r="O18" s="455"/>
      <c r="P18" s="455"/>
    </row>
    <row r="19" spans="1:20" ht="12" customHeight="1">
      <c r="A19" s="120"/>
      <c r="B19" s="247" t="s">
        <v>103</v>
      </c>
      <c r="C19" s="440"/>
      <c r="E19" s="156"/>
      <c r="F19" s="155"/>
      <c r="G19" s="464"/>
      <c r="H19" s="455"/>
      <c r="I19" s="455"/>
      <c r="J19" s="455"/>
      <c r="K19" s="455"/>
      <c r="L19" s="455"/>
      <c r="M19" s="455"/>
      <c r="N19" s="455"/>
      <c r="O19" s="455"/>
      <c r="P19" s="455"/>
      <c r="Q19" s="25"/>
      <c r="R19" s="3"/>
      <c r="S19" s="3"/>
      <c r="T19" s="3"/>
    </row>
    <row r="20" spans="1:20" ht="12" customHeight="1">
      <c r="A20" s="120"/>
      <c r="B20" s="25" t="s">
        <v>94</v>
      </c>
      <c r="C20" s="377">
        <f ca="1">SUM(D17:M17)</f>
        <v>-9831.2313509493888</v>
      </c>
      <c r="J20" s="455"/>
      <c r="K20" s="455"/>
      <c r="L20" s="455"/>
      <c r="M20" s="455"/>
      <c r="N20" s="455"/>
      <c r="O20" s="455"/>
      <c r="P20" s="455"/>
      <c r="Q20" s="3"/>
      <c r="R20" s="3"/>
      <c r="S20" s="3"/>
      <c r="T20" s="3"/>
    </row>
    <row r="21" spans="1:20" ht="12" customHeight="1">
      <c r="A21" s="6"/>
      <c r="B21" s="25" t="s">
        <v>68</v>
      </c>
      <c r="C21" s="377">
        <f ca="1">(((((M5*(1+$P$5))*$P$6)*(1-P10)))*(1-(P12/P13)))/(P8-P12)</f>
        <v>36573.031869532897</v>
      </c>
      <c r="P21" s="455"/>
      <c r="Q21" s="3"/>
      <c r="R21" s="3"/>
      <c r="S21" s="3"/>
      <c r="T21" s="3"/>
    </row>
    <row r="22" spans="1:20" ht="12" customHeight="1">
      <c r="A22" s="6"/>
      <c r="B22" s="25" t="s">
        <v>88</v>
      </c>
      <c r="C22" s="377">
        <f ca="1">C21/(1+M16)^M3</f>
        <v>18577.846594965296</v>
      </c>
      <c r="D22" s="25"/>
      <c r="F22" s="248"/>
      <c r="G22" s="248"/>
      <c r="H22" s="248"/>
      <c r="I22" s="248"/>
      <c r="L22" s="248"/>
      <c r="M22" s="248"/>
      <c r="N22" s="248"/>
      <c r="O22" s="248"/>
      <c r="P22" s="455"/>
      <c r="Q22" s="3"/>
      <c r="R22" s="3"/>
      <c r="S22" s="3"/>
      <c r="T22" s="3"/>
    </row>
    <row r="23" spans="1:20" s="24" customFormat="1" ht="12" customHeight="1">
      <c r="A23" s="6"/>
      <c r="B23" s="449" t="s">
        <v>99</v>
      </c>
      <c r="C23" s="450">
        <f ca="1">C22+C20</f>
        <v>8746.6152440159076</v>
      </c>
      <c r="D23" s="25"/>
      <c r="E23" s="418">
        <f ca="1">$C$30</f>
        <v>13.146340590892729</v>
      </c>
      <c r="F23" s="474">
        <v>0.01</v>
      </c>
      <c r="G23" s="474">
        <v>0.02</v>
      </c>
      <c r="H23" s="476">
        <v>0.03</v>
      </c>
      <c r="I23" s="475">
        <v>0.04</v>
      </c>
      <c r="J23" s="455"/>
      <c r="K23" s="418">
        <f ca="1">$C$30</f>
        <v>13.146340590892729</v>
      </c>
      <c r="L23" s="474">
        <v>-0.05</v>
      </c>
      <c r="M23" s="474">
        <v>-0.03</v>
      </c>
      <c r="N23" s="476">
        <v>0.02</v>
      </c>
      <c r="O23" s="475">
        <v>0.04</v>
      </c>
      <c r="P23" s="23"/>
      <c r="Q23" s="23"/>
      <c r="R23" s="23"/>
      <c r="S23" s="23"/>
      <c r="T23" s="23"/>
    </row>
    <row r="24" spans="1:20" ht="12" customHeight="1">
      <c r="A24" s="6"/>
      <c r="B24" s="451" t="s">
        <v>84</v>
      </c>
      <c r="C24" s="377">
        <f ca="1">'Cash &amp; Marketable Securities'!C13</f>
        <v>13957.819165409843</v>
      </c>
      <c r="D24" s="25"/>
      <c r="E24" s="490">
        <v>4.3999999999999997E-2</v>
      </c>
      <c r="F24" s="493">
        <f t="dataTable" ref="F24:I28" dt2D="1" dtr="1" r1="P5" r2="P6" ca="1"/>
        <v>14.022845170748965</v>
      </c>
      <c r="G24" s="494">
        <v>12.764277822978194</v>
      </c>
      <c r="H24" s="468">
        <v>11.489807517901735</v>
      </c>
      <c r="I24" s="468">
        <v>10.203248010791325</v>
      </c>
      <c r="J24" s="455"/>
      <c r="K24" s="490">
        <v>0.05</v>
      </c>
      <c r="L24" s="492">
        <f t="dataTable" ref="L24:O28" dt2D="1" dtr="1" r1="P5" r2="P8" ca="1"/>
        <v>37.345686744300266</v>
      </c>
      <c r="M24" s="492">
        <v>38.786886621019981</v>
      </c>
      <c r="N24" s="492">
        <v>45.782928765109084</v>
      </c>
      <c r="O24" s="492">
        <v>50.455633871281847</v>
      </c>
      <c r="P24" s="3"/>
      <c r="Q24" s="3"/>
      <c r="R24" s="3"/>
      <c r="S24" s="3"/>
      <c r="T24" s="3"/>
    </row>
    <row r="25" spans="1:20" ht="12" customHeight="1">
      <c r="A25" s="121"/>
      <c r="B25" s="25" t="s">
        <v>90</v>
      </c>
      <c r="C25" s="434">
        <f ca="1">-'Bottom Up Beta'!C14+'Fair Value of Share'!C21</f>
        <v>-14815.676391903666</v>
      </c>
      <c r="D25" s="27"/>
      <c r="E25" s="491">
        <v>0.05</v>
      </c>
      <c r="F25" s="417">
        <v>19.798714196600368</v>
      </c>
      <c r="G25" s="473">
        <v>19.117313973107716</v>
      </c>
      <c r="H25" s="463">
        <v>18.474885894976985</v>
      </c>
      <c r="I25" s="463">
        <v>17.880031157307709</v>
      </c>
      <c r="J25" s="455"/>
      <c r="K25" s="491">
        <v>0.06</v>
      </c>
      <c r="L25" s="477">
        <v>27.285823513982919</v>
      </c>
      <c r="M25" s="477">
        <v>26.388823773932007</v>
      </c>
      <c r="N25" s="477">
        <v>25.079706072597993</v>
      </c>
      <c r="O25" s="477">
        <v>25.14550583050584</v>
      </c>
      <c r="P25" s="3"/>
      <c r="Q25" s="3"/>
      <c r="R25" s="3"/>
      <c r="S25" s="3"/>
      <c r="T25" s="3"/>
    </row>
    <row r="26" spans="1:20" ht="12" customHeight="1">
      <c r="A26" s="24"/>
      <c r="B26" s="449" t="s">
        <v>92</v>
      </c>
      <c r="C26" s="361">
        <f ca="1">SUM(C23:C25)</f>
        <v>7888.7580175220846</v>
      </c>
      <c r="D26" s="25"/>
      <c r="E26" s="491">
        <v>0.06</v>
      </c>
      <c r="F26" s="373">
        <v>29.42516257301935</v>
      </c>
      <c r="G26" s="473">
        <v>29.705707556656883</v>
      </c>
      <c r="H26" s="463">
        <v>30.11668319010241</v>
      </c>
      <c r="I26" s="463">
        <v>30.674669734834961</v>
      </c>
      <c r="J26" s="455"/>
      <c r="K26" s="491">
        <v>6.9000000000000006E-2</v>
      </c>
      <c r="L26" s="477">
        <v>21.686278309569101</v>
      </c>
      <c r="M26" s="477">
        <v>19.560803776928253</v>
      </c>
      <c r="N26" s="477">
        <v>13.925194039963621</v>
      </c>
      <c r="O26" s="615">
        <v>11.606055013928911</v>
      </c>
      <c r="P26" s="3"/>
      <c r="Q26" s="3"/>
      <c r="R26" s="3"/>
      <c r="S26" s="3"/>
      <c r="T26" s="3"/>
    </row>
    <row r="27" spans="1:20" ht="12" customHeight="1">
      <c r="B27" s="2" t="s">
        <v>101</v>
      </c>
      <c r="C27" s="455">
        <f>'Fair Value of Share'!C23</f>
        <v>68</v>
      </c>
      <c r="D27" s="25"/>
      <c r="E27" s="491">
        <v>7.0000000000000007E-2</v>
      </c>
      <c r="F27" s="373">
        <v>39.051610949438356</v>
      </c>
      <c r="G27" s="473">
        <v>40.29410114020606</v>
      </c>
      <c r="H27" s="463">
        <v>41.758480485227849</v>
      </c>
      <c r="I27" s="463">
        <v>43.469308312362266</v>
      </c>
      <c r="J27" s="455"/>
      <c r="K27" s="491">
        <v>0.08</v>
      </c>
      <c r="L27" s="615">
        <v>17.071488100976893</v>
      </c>
      <c r="M27" s="615">
        <v>14.002386997263919</v>
      </c>
      <c r="N27" s="615">
        <v>5.079007814197567</v>
      </c>
      <c r="O27" s="615">
        <v>0.9619400143174146</v>
      </c>
      <c r="P27" s="3"/>
      <c r="Q27" s="3"/>
      <c r="R27" s="3"/>
      <c r="S27" s="3"/>
      <c r="T27" s="3"/>
    </row>
    <row r="28" spans="1:20" ht="12" customHeight="1">
      <c r="B28" s="449" t="s">
        <v>102</v>
      </c>
      <c r="C28" s="453">
        <f ca="1">C26-C27</f>
        <v>7820.7580175220846</v>
      </c>
      <c r="D28" s="168"/>
      <c r="E28" s="490">
        <v>0.08</v>
      </c>
      <c r="F28" s="373">
        <v>48.678059325857348</v>
      </c>
      <c r="G28" s="473">
        <v>50.882494723755244</v>
      </c>
      <c r="H28" s="463">
        <v>53.400277780353257</v>
      </c>
      <c r="I28" s="463">
        <v>56.263946889889525</v>
      </c>
      <c r="J28" s="455"/>
      <c r="K28" s="490">
        <v>0.09</v>
      </c>
      <c r="L28" s="615">
        <v>14.097124151017143</v>
      </c>
      <c r="M28" s="613">
        <v>10.47035372535712</v>
      </c>
      <c r="N28" s="614">
        <v>-0.36910716638697744</v>
      </c>
      <c r="O28" s="614">
        <v>-5.5230100077161852</v>
      </c>
      <c r="P28" s="3"/>
      <c r="Q28" s="3"/>
      <c r="R28" s="3"/>
      <c r="S28" s="3"/>
      <c r="T28" s="3"/>
    </row>
    <row r="29" spans="1:20" ht="12" customHeight="1">
      <c r="B29" s="2" t="s">
        <v>38</v>
      </c>
      <c r="C29" s="462">
        <f>Drivers!C17</f>
        <v>594.9</v>
      </c>
      <c r="D29" s="153"/>
      <c r="I29" s="25"/>
      <c r="J29" s="25"/>
      <c r="K29" s="13"/>
      <c r="L29" s="3"/>
      <c r="M29" s="3"/>
      <c r="N29" s="3"/>
      <c r="O29" s="3"/>
      <c r="P29" s="3"/>
      <c r="Q29" s="3"/>
      <c r="R29" s="3"/>
      <c r="S29" s="3"/>
      <c r="T29" s="3"/>
    </row>
    <row r="30" spans="1:20" ht="12" customHeight="1">
      <c r="B30" s="324" t="s">
        <v>103</v>
      </c>
      <c r="C30" s="454">
        <f ca="1">C28/C29</f>
        <v>13.146340590892729</v>
      </c>
      <c r="D30" s="28"/>
      <c r="I30" s="25"/>
      <c r="J30" s="25"/>
      <c r="K30" s="5"/>
      <c r="L30" s="3"/>
      <c r="M30" s="3"/>
      <c r="N30" s="3"/>
      <c r="O30" s="3"/>
      <c r="P30" s="3"/>
      <c r="Q30" s="3"/>
      <c r="R30" s="3"/>
      <c r="S30" s="3"/>
      <c r="T30" s="3"/>
    </row>
    <row r="31" spans="1:20" ht="12" customHeight="1">
      <c r="D31" s="3"/>
      <c r="I31" s="25"/>
      <c r="J31" s="25"/>
      <c r="K31" s="5"/>
      <c r="L31" s="3"/>
      <c r="M31" s="3"/>
      <c r="N31" s="3"/>
      <c r="O31" s="3"/>
    </row>
    <row r="32" spans="1:20" ht="12" customHeight="1">
      <c r="D32" s="6"/>
      <c r="E32" s="124"/>
      <c r="F32" s="125"/>
      <c r="G32" s="13"/>
      <c r="H32" s="5"/>
      <c r="I32" s="5"/>
      <c r="J32" s="5"/>
      <c r="K32" s="5"/>
      <c r="L32" s="3"/>
      <c r="M32" s="3"/>
      <c r="N32" s="3"/>
      <c r="O32" s="3"/>
    </row>
    <row r="33" spans="5:13" ht="12" customHeight="1">
      <c r="E33" s="3"/>
      <c r="F33" s="123"/>
    </row>
    <row r="34" spans="5:13" ht="12" customHeight="1">
      <c r="E34" s="3"/>
      <c r="F34" s="51"/>
      <c r="G34" s="7"/>
      <c r="K34" s="9"/>
    </row>
    <row r="35" spans="5:13" ht="12" customHeight="1">
      <c r="E35" s="25"/>
      <c r="F35" s="122"/>
      <c r="G35" s="10"/>
      <c r="K35" s="7"/>
      <c r="M35" s="7"/>
    </row>
    <row r="36" spans="5:13" ht="12" customHeight="1">
      <c r="E36" s="25"/>
      <c r="M36" s="7"/>
    </row>
    <row r="37" spans="5:13" ht="12" customHeight="1">
      <c r="E37" s="25"/>
      <c r="F37" s="5"/>
      <c r="G37" s="14"/>
      <c r="K37" s="4"/>
    </row>
    <row r="40" spans="5:13" ht="12" customHeight="1">
      <c r="G40" s="11"/>
    </row>
    <row r="41" spans="5:13" ht="12" customHeight="1">
      <c r="G41" s="7"/>
    </row>
    <row r="42" spans="5:13" ht="12" customHeight="1">
      <c r="G42" s="11"/>
    </row>
    <row r="44" spans="5:13" ht="12" customHeight="1">
      <c r="G44" s="14"/>
    </row>
  </sheetData>
  <pageMargins left="0.7" right="0.7" top="0.75" bottom="0.75" header="0.3" footer="0.3"/>
  <pageSetup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0"/>
  <sheetViews>
    <sheetView workbookViewId="0"/>
  </sheetViews>
  <sheetFormatPr defaultRowHeight="12" customHeight="1"/>
  <cols>
    <col min="1" max="1" width="2" style="2" customWidth="1"/>
    <col min="2" max="2" width="14.85546875" style="2" customWidth="1"/>
    <col min="3" max="9" width="11.7109375" style="2" customWidth="1"/>
    <col min="10" max="10" width="5" style="2" customWidth="1"/>
    <col min="11" max="12" width="11.7109375" style="2" customWidth="1"/>
    <col min="13" max="13" width="10" style="2" bestFit="1" customWidth="1"/>
    <col min="14" max="14" width="11" style="2" customWidth="1"/>
    <col min="15" max="15" width="11.28515625" style="2" customWidth="1"/>
    <col min="16" max="16" width="10" style="2" bestFit="1" customWidth="1"/>
    <col min="17" max="19" width="9.140625" style="2"/>
    <col min="20" max="20" width="10.140625" style="2" bestFit="1" customWidth="1"/>
    <col min="21" max="16384" width="9.140625" style="2"/>
  </cols>
  <sheetData>
    <row r="1" spans="1:20" ht="16.5" customHeight="1">
      <c r="B1" s="15" t="s">
        <v>416</v>
      </c>
    </row>
    <row r="3" spans="1:20" ht="12" customHeight="1" thickBot="1">
      <c r="B3" s="478" t="s">
        <v>417</v>
      </c>
      <c r="C3" s="479"/>
      <c r="D3" s="479"/>
      <c r="E3" s="478"/>
      <c r="F3" s="480"/>
      <c r="G3" s="481"/>
      <c r="H3" s="482"/>
      <c r="I3" s="482"/>
      <c r="J3" s="482"/>
      <c r="K3" s="5"/>
      <c r="L3" s="3"/>
      <c r="M3" s="3"/>
      <c r="N3" s="3"/>
      <c r="O3" s="3"/>
      <c r="P3" s="3"/>
      <c r="Q3" s="3"/>
      <c r="R3" s="3"/>
      <c r="S3" s="3"/>
      <c r="T3" s="3"/>
    </row>
    <row r="4" spans="1:20" ht="12" customHeight="1">
      <c r="D4" s="3"/>
      <c r="E4" s="35"/>
      <c r="F4" s="92"/>
      <c r="G4" s="3"/>
      <c r="H4" s="3"/>
      <c r="I4" s="3"/>
      <c r="J4" s="3"/>
      <c r="K4" s="3"/>
      <c r="L4" s="3"/>
      <c r="M4" s="3"/>
      <c r="Q4" s="3"/>
      <c r="R4" s="3"/>
      <c r="S4" s="3"/>
      <c r="T4" s="3"/>
    </row>
    <row r="5" spans="1:20" ht="12" customHeight="1">
      <c r="E5" s="3"/>
      <c r="F5" s="90"/>
      <c r="G5" s="3"/>
      <c r="H5" s="3"/>
      <c r="I5" s="3"/>
      <c r="J5" s="3"/>
      <c r="K5" s="3"/>
      <c r="L5" s="3"/>
      <c r="M5" s="3"/>
      <c r="Q5" s="3"/>
      <c r="R5" s="3"/>
      <c r="S5" s="3"/>
      <c r="T5" s="3"/>
    </row>
    <row r="6" spans="1:20" ht="12" customHeight="1">
      <c r="E6" s="3"/>
      <c r="F6" s="123"/>
      <c r="Q6" s="3"/>
      <c r="R6" s="3"/>
      <c r="S6" s="3"/>
      <c r="T6" s="3"/>
    </row>
    <row r="7" spans="1:20" ht="12" customHeight="1">
      <c r="B7" s="250" t="s">
        <v>414</v>
      </c>
      <c r="C7" s="616">
        <v>-0.05</v>
      </c>
      <c r="E7" s="3"/>
      <c r="F7" s="51"/>
      <c r="G7" s="7"/>
      <c r="K7" s="9"/>
      <c r="Q7" s="3"/>
      <c r="R7" s="3"/>
      <c r="S7" s="3"/>
      <c r="T7" s="3"/>
    </row>
    <row r="8" spans="1:20" ht="12" customHeight="1">
      <c r="B8" s="250" t="s">
        <v>114</v>
      </c>
      <c r="C8" s="269">
        <f>'Sensitivity Analysis'!P6</f>
        <v>4.41E-2</v>
      </c>
      <c r="E8" s="25"/>
      <c r="F8" s="122"/>
      <c r="G8" s="10"/>
      <c r="K8" s="7"/>
      <c r="M8" s="7"/>
      <c r="Q8" s="3"/>
      <c r="R8" s="3"/>
      <c r="S8" s="3"/>
      <c r="T8" s="3"/>
    </row>
    <row r="9" spans="1:20" ht="12" customHeight="1">
      <c r="B9" s="250" t="s">
        <v>86</v>
      </c>
      <c r="C9" s="320">
        <f>'Sensitivity Analysis'!P7</f>
        <v>1.7434937669731374</v>
      </c>
      <c r="E9" s="25"/>
      <c r="M9" s="7"/>
      <c r="Q9" s="3"/>
      <c r="R9" s="3"/>
      <c r="S9" s="3"/>
      <c r="T9" s="3"/>
    </row>
    <row r="10" spans="1:20" ht="12" customHeight="1">
      <c r="B10" s="250" t="s">
        <v>5</v>
      </c>
      <c r="C10" s="269">
        <f ca="1">'Sensitivity Analysis'!P8</f>
        <v>7.0080769037127261E-2</v>
      </c>
      <c r="E10" s="25"/>
      <c r="F10" s="5"/>
      <c r="G10" s="14"/>
      <c r="K10" s="4"/>
      <c r="Q10" s="3"/>
      <c r="R10" s="3"/>
      <c r="S10" s="3"/>
      <c r="T10" s="3"/>
    </row>
    <row r="11" spans="1:20" ht="12" customHeight="1">
      <c r="A11" s="3"/>
      <c r="Q11" s="3"/>
      <c r="R11" s="3"/>
      <c r="S11" s="3"/>
      <c r="T11" s="3"/>
    </row>
    <row r="12" spans="1:20" ht="12" customHeight="1" thickBot="1">
      <c r="A12" s="3"/>
      <c r="B12" s="478" t="s">
        <v>418</v>
      </c>
      <c r="C12" s="479"/>
      <c r="D12" s="479"/>
      <c r="E12" s="479"/>
      <c r="F12" s="479"/>
      <c r="G12" s="479"/>
      <c r="H12" s="479"/>
      <c r="I12" s="479"/>
      <c r="J12" s="479"/>
      <c r="Q12" s="3"/>
      <c r="R12" s="3"/>
      <c r="S12" s="3"/>
      <c r="T12" s="3"/>
    </row>
    <row r="13" spans="1:20" ht="12" customHeight="1">
      <c r="A13" s="3"/>
      <c r="G13" s="11"/>
      <c r="Q13" s="3"/>
      <c r="R13" s="3"/>
      <c r="S13" s="3"/>
      <c r="T13" s="3"/>
    </row>
    <row r="14" spans="1:20" s="22" customFormat="1" ht="12" customHeight="1">
      <c r="A14" s="21"/>
      <c r="B14" s="2"/>
      <c r="C14" s="2"/>
      <c r="D14" s="2"/>
      <c r="E14" s="2"/>
      <c r="F14" s="2"/>
      <c r="G14" s="7"/>
      <c r="H14" s="2"/>
      <c r="I14" s="2"/>
      <c r="J14" s="2"/>
      <c r="K14" s="2"/>
      <c r="L14" s="2"/>
      <c r="M14" s="2"/>
      <c r="N14" s="2"/>
      <c r="O14" s="2"/>
      <c r="P14" s="2"/>
      <c r="Q14" s="21"/>
      <c r="R14" s="21"/>
      <c r="S14" s="21"/>
      <c r="T14" s="21"/>
    </row>
    <row r="15" spans="1:20" ht="12" customHeight="1">
      <c r="A15" s="3"/>
      <c r="G15" s="11"/>
    </row>
    <row r="16" spans="1:20" ht="12" customHeight="1">
      <c r="A16" s="120"/>
      <c r="B16" s="250" t="s">
        <v>414</v>
      </c>
      <c r="C16" s="269">
        <f>'Sensitivity Analysis'!P5</f>
        <v>1.78E-2</v>
      </c>
    </row>
    <row r="17" spans="1:20" ht="12" customHeight="1">
      <c r="A17" s="120"/>
      <c r="B17" s="250" t="s">
        <v>114</v>
      </c>
      <c r="C17" s="269">
        <f>'Sensitivity Analysis'!P6</f>
        <v>4.41E-2</v>
      </c>
      <c r="G17" s="14"/>
    </row>
    <row r="18" spans="1:20" ht="12" customHeight="1">
      <c r="A18" s="120"/>
      <c r="B18" s="250" t="s">
        <v>86</v>
      </c>
      <c r="C18" s="320">
        <f>'Sensitivity Analysis'!P7</f>
        <v>1.7434937669731374</v>
      </c>
    </row>
    <row r="19" spans="1:20" ht="12" customHeight="1">
      <c r="A19" s="6"/>
      <c r="B19" s="250" t="s">
        <v>5</v>
      </c>
      <c r="C19" s="616">
        <v>0.1</v>
      </c>
      <c r="Q19" s="25"/>
      <c r="R19" s="3"/>
      <c r="S19" s="3"/>
      <c r="T19" s="3"/>
    </row>
    <row r="20" spans="1:20" ht="12" customHeight="1">
      <c r="A20" s="6"/>
      <c r="Q20" s="3"/>
      <c r="R20" s="3"/>
      <c r="S20" s="3"/>
      <c r="T20" s="3"/>
    </row>
    <row r="21" spans="1:20" ht="12" customHeight="1" thickBot="1">
      <c r="A21" s="6"/>
      <c r="B21" s="478" t="s">
        <v>419</v>
      </c>
      <c r="C21" s="479"/>
      <c r="D21" s="479"/>
      <c r="E21" s="479"/>
      <c r="F21" s="479"/>
      <c r="G21" s="479"/>
      <c r="H21" s="479"/>
      <c r="I21" s="479"/>
      <c r="J21" s="479"/>
      <c r="Q21" s="3"/>
      <c r="R21" s="3"/>
      <c r="S21" s="3"/>
      <c r="T21" s="3"/>
    </row>
    <row r="22" spans="1:20" ht="12" customHeight="1">
      <c r="A22" s="6"/>
      <c r="Q22" s="3"/>
      <c r="R22" s="3"/>
      <c r="S22" s="3"/>
      <c r="T22" s="3"/>
    </row>
    <row r="23" spans="1:20" s="24" customFormat="1" ht="12" customHeight="1">
      <c r="A23" s="121"/>
      <c r="B23" s="2"/>
      <c r="C23" s="2"/>
      <c r="D23" s="2"/>
      <c r="E23" s="2"/>
      <c r="F23" s="2"/>
      <c r="G23" s="2"/>
      <c r="H23" s="2"/>
      <c r="I23" s="2"/>
      <c r="J23" s="2"/>
      <c r="K23" s="2"/>
      <c r="L23" s="2"/>
      <c r="M23" s="2"/>
      <c r="N23" s="2"/>
      <c r="O23" s="2"/>
      <c r="P23" s="2"/>
      <c r="Q23" s="23"/>
      <c r="R23" s="23"/>
      <c r="S23" s="23"/>
      <c r="T23" s="23"/>
    </row>
    <row r="24" spans="1:20" ht="12" customHeight="1">
      <c r="A24" s="24"/>
      <c r="Q24" s="3"/>
      <c r="R24" s="3"/>
      <c r="S24" s="3"/>
      <c r="T24" s="3"/>
    </row>
    <row r="25" spans="1:20" ht="12" customHeight="1">
      <c r="B25" s="250" t="s">
        <v>414</v>
      </c>
      <c r="C25" s="269">
        <f>'Sensitivity Analysis'!P5</f>
        <v>1.78E-2</v>
      </c>
      <c r="Q25" s="3"/>
      <c r="R25" s="3"/>
      <c r="S25" s="3"/>
      <c r="T25" s="3"/>
    </row>
    <row r="26" spans="1:20" ht="12" customHeight="1">
      <c r="B26" s="250" t="s">
        <v>114</v>
      </c>
      <c r="C26" s="269">
        <f>'Sensitivity Analysis'!P6</f>
        <v>4.41E-2</v>
      </c>
      <c r="Q26" s="3"/>
      <c r="R26" s="3"/>
      <c r="S26" s="3"/>
      <c r="T26" s="3"/>
    </row>
    <row r="27" spans="1:20" ht="12" customHeight="1">
      <c r="B27" s="250" t="s">
        <v>86</v>
      </c>
      <c r="C27" s="617">
        <v>0.61</v>
      </c>
      <c r="Q27" s="3"/>
      <c r="R27" s="3"/>
      <c r="S27" s="3"/>
      <c r="T27" s="3"/>
    </row>
    <row r="28" spans="1:20" ht="12" customHeight="1">
      <c r="B28" s="250" t="s">
        <v>5</v>
      </c>
      <c r="C28" s="269">
        <f ca="1">'Sensitivity Analysis'!P8</f>
        <v>7.0080769037127261E-2</v>
      </c>
      <c r="Q28" s="3"/>
      <c r="R28" s="3"/>
      <c r="S28" s="3"/>
      <c r="T28" s="3"/>
    </row>
    <row r="29" spans="1:20" ht="12" customHeight="1">
      <c r="Q29" s="3"/>
      <c r="R29" s="3"/>
      <c r="S29" s="3"/>
      <c r="T29" s="3"/>
    </row>
    <row r="30" spans="1:20" ht="12" customHeight="1">
      <c r="Q30" s="3"/>
      <c r="R30" s="3"/>
      <c r="S30" s="3"/>
      <c r="T30" s="3"/>
    </row>
  </sheetData>
  <pageMargins left="0.7" right="0.7" top="0.75" bottom="0.75" header="0.3" footer="0.3"/>
  <pageSetup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260</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9"/>
  <sheetViews>
    <sheetView workbookViewId="0"/>
  </sheetViews>
  <sheetFormatPr defaultRowHeight="12" customHeight="1"/>
  <cols>
    <col min="1" max="1" width="2" style="2" customWidth="1"/>
    <col min="2" max="2" width="31" style="2" customWidth="1"/>
    <col min="3" max="3" width="13.5703125" style="2" customWidth="1"/>
    <col min="4" max="4" width="8.140625" style="2" customWidth="1"/>
    <col min="5" max="5" width="27" style="2" customWidth="1"/>
    <col min="6" max="6" width="14.5703125" style="2" customWidth="1"/>
    <col min="7" max="7" width="11.140625" style="2" customWidth="1"/>
    <col min="8" max="8" width="11.5703125" style="2" customWidth="1"/>
    <col min="9" max="9" width="12.85546875" style="2" customWidth="1"/>
    <col min="10" max="10" width="10.42578125" style="2" customWidth="1"/>
    <col min="11" max="11" width="11" style="2" customWidth="1"/>
    <col min="12" max="12" width="16" style="2" customWidth="1"/>
    <col min="13" max="13" width="12.2851562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5" t="s">
        <v>279</v>
      </c>
    </row>
    <row r="3" spans="1:16" ht="12" customHeight="1">
      <c r="B3" s="2" t="s">
        <v>261</v>
      </c>
      <c r="C3" s="443">
        <f>I11+I13</f>
        <v>56795</v>
      </c>
      <c r="D3" s="28"/>
      <c r="E3" s="299" t="s">
        <v>355</v>
      </c>
      <c r="F3" s="299" t="s">
        <v>357</v>
      </c>
      <c r="G3" s="300" t="s">
        <v>123</v>
      </c>
      <c r="H3" s="300" t="s">
        <v>124</v>
      </c>
      <c r="I3" s="300" t="s">
        <v>354</v>
      </c>
      <c r="J3" s="301"/>
      <c r="K3" s="164"/>
    </row>
    <row r="4" spans="1:16" ht="12" customHeight="1" thickBot="1">
      <c r="B4" s="2" t="s">
        <v>262</v>
      </c>
      <c r="C4" s="443">
        <f ca="1">'Bottom Up Beta'!F23</f>
        <v>14301.676391903666</v>
      </c>
      <c r="D4" s="3"/>
      <c r="E4" s="305" t="s">
        <v>348</v>
      </c>
      <c r="F4" s="305"/>
      <c r="G4" s="306" t="s">
        <v>356</v>
      </c>
      <c r="H4" s="253"/>
      <c r="I4" s="305" t="s">
        <v>350</v>
      </c>
      <c r="J4" s="307" t="s">
        <v>122</v>
      </c>
    </row>
    <row r="5" spans="1:16" ht="12" customHeight="1">
      <c r="B5" s="2" t="s">
        <v>263</v>
      </c>
      <c r="C5" s="443">
        <f>I12</f>
        <v>206</v>
      </c>
      <c r="D5" s="3"/>
      <c r="E5" s="121" t="s">
        <v>687</v>
      </c>
      <c r="F5" s="303">
        <v>1.8350000000000002E-2</v>
      </c>
      <c r="G5" s="304">
        <v>46023</v>
      </c>
      <c r="H5" s="99">
        <f ca="1">YEARFRAC(TODAY(),G5)</f>
        <v>2.7055555555555557</v>
      </c>
      <c r="I5" s="446">
        <v>11846</v>
      </c>
      <c r="J5" s="63">
        <f>I5/$I$11</f>
        <v>0.20879895653400077</v>
      </c>
      <c r="K5" s="238"/>
    </row>
    <row r="6" spans="1:16" ht="12" customHeight="1">
      <c r="B6" s="216"/>
      <c r="C6" s="3"/>
      <c r="D6" s="3"/>
      <c r="E6" s="121" t="s">
        <v>688</v>
      </c>
      <c r="F6" s="303">
        <v>2.9000000000000001E-2</v>
      </c>
      <c r="G6" s="304">
        <v>47484</v>
      </c>
      <c r="H6" s="99">
        <f ca="1">YEARFRAC(TODAY(),G6)</f>
        <v>6.7055555555555557</v>
      </c>
      <c r="I6" s="446">
        <v>6412</v>
      </c>
      <c r="J6" s="63">
        <f t="shared" ref="J6:J10" si="0">I6/$I$11</f>
        <v>0.11301864842951316</v>
      </c>
      <c r="K6" s="206"/>
    </row>
    <row r="7" spans="1:16" ht="12" customHeight="1" thickBot="1">
      <c r="B7" s="290" t="s">
        <v>264</v>
      </c>
      <c r="C7" s="290"/>
      <c r="D7" s="3"/>
      <c r="E7" s="121" t="s">
        <v>689</v>
      </c>
      <c r="F7" s="303">
        <v>3.5749999999999997E-2</v>
      </c>
      <c r="G7" s="304">
        <v>58076</v>
      </c>
      <c r="H7" s="99">
        <f ca="1">YEARFRAC(TODAY(),G7)</f>
        <v>35.705555555555556</v>
      </c>
      <c r="I7" s="446">
        <v>9576</v>
      </c>
      <c r="J7" s="63">
        <f t="shared" si="0"/>
        <v>0.16878767582049564</v>
      </c>
      <c r="K7" s="238"/>
    </row>
    <row r="8" spans="1:16" ht="12" customHeight="1">
      <c r="B8" s="2" t="s">
        <v>265</v>
      </c>
      <c r="C8" s="223">
        <v>0</v>
      </c>
      <c r="E8" s="121" t="s">
        <v>689</v>
      </c>
      <c r="F8" s="303">
        <v>4.5499999999999999E-2</v>
      </c>
      <c r="G8" s="304">
        <v>58076</v>
      </c>
      <c r="H8" s="99">
        <f t="shared" ref="H8:H10" ca="1" si="1">YEARFRAC(TODAY(),G8)</f>
        <v>35.705555555555556</v>
      </c>
      <c r="I8" s="446">
        <v>14035</v>
      </c>
      <c r="J8" s="63">
        <f t="shared" si="0"/>
        <v>0.24738252194451299</v>
      </c>
      <c r="L8" s="3"/>
    </row>
    <row r="9" spans="1:16" ht="12" customHeight="1">
      <c r="B9" s="2" t="s">
        <v>266</v>
      </c>
      <c r="C9" s="223">
        <v>1</v>
      </c>
      <c r="E9" s="121" t="s">
        <v>690</v>
      </c>
      <c r="F9" s="303">
        <v>6.1699999999999998E-2</v>
      </c>
      <c r="G9" s="304">
        <v>58441</v>
      </c>
      <c r="H9" s="99">
        <f t="shared" ca="1" si="1"/>
        <v>36.705555555555556</v>
      </c>
      <c r="I9" s="446">
        <v>13011</v>
      </c>
      <c r="J9" s="63">
        <f t="shared" si="0"/>
        <v>0.22933338033630626</v>
      </c>
      <c r="L9" s="3"/>
    </row>
    <row r="10" spans="1:16" ht="12" customHeight="1">
      <c r="A10" s="3"/>
      <c r="B10" s="220"/>
      <c r="C10" s="103"/>
      <c r="E10" s="121" t="s">
        <v>691</v>
      </c>
      <c r="F10" s="303">
        <v>7.8149999999999997E-2</v>
      </c>
      <c r="G10" s="304">
        <v>52232</v>
      </c>
      <c r="H10" s="99">
        <f t="shared" ca="1" si="1"/>
        <v>19.705555555555556</v>
      </c>
      <c r="I10" s="446">
        <v>1854</v>
      </c>
      <c r="J10" s="63">
        <f t="shared" si="0"/>
        <v>3.2678816935171148E-2</v>
      </c>
    </row>
    <row r="11" spans="1:16" ht="12" customHeight="1" thickBot="1">
      <c r="A11" s="3"/>
      <c r="B11" s="290" t="s">
        <v>272</v>
      </c>
      <c r="C11" s="483"/>
      <c r="D11" s="217"/>
      <c r="E11" s="308" t="s">
        <v>686</v>
      </c>
      <c r="F11" s="311">
        <f>(F5*J5)+(F6*J6)+(F7*J7)+(F8*J8)+(F9*J9)+(F10*J10)</f>
        <v>4.1102784926146572E-2</v>
      </c>
      <c r="G11" s="309"/>
      <c r="H11" s="310">
        <f ca="1">(H5*J5)+(H6*J6)+(H7*J7)+(H8*J8)+(H9*J9)+(H10*J10)</f>
        <v>25.244121494851214</v>
      </c>
      <c r="I11" s="447">
        <f>SUM(I5:I10)</f>
        <v>56734</v>
      </c>
      <c r="J11" s="311">
        <f>SUM(J5:J10)</f>
        <v>0.99999999999999989</v>
      </c>
      <c r="K11" s="237">
        <f>I11/$I$14</f>
        <v>0.99531587165137458</v>
      </c>
      <c r="L11" s="33"/>
      <c r="M11" s="218"/>
      <c r="N11" s="218"/>
      <c r="O11" s="218"/>
    </row>
    <row r="12" spans="1:16" ht="12" customHeight="1">
      <c r="A12" s="3"/>
      <c r="B12" s="2" t="s">
        <v>267</v>
      </c>
      <c r="C12" s="223">
        <f>0</f>
        <v>0</v>
      </c>
      <c r="D12" s="200"/>
      <c r="E12" s="121" t="s">
        <v>692</v>
      </c>
      <c r="F12" s="63">
        <v>4.1300000000000003E-2</v>
      </c>
      <c r="G12" s="12"/>
      <c r="H12" s="99">
        <v>12</v>
      </c>
      <c r="I12" s="446">
        <v>206</v>
      </c>
      <c r="K12" s="237">
        <f>I12/$I$14</f>
        <v>3.6139716847072858E-3</v>
      </c>
      <c r="L12" s="214"/>
      <c r="M12" s="214"/>
      <c r="N12" s="214"/>
      <c r="O12" s="215"/>
    </row>
    <row r="13" spans="1:16" ht="12" customHeight="1">
      <c r="A13" s="3"/>
      <c r="B13" s="2" t="s">
        <v>270</v>
      </c>
      <c r="C13" s="223">
        <f>I5/I14</f>
        <v>0.20782091542253645</v>
      </c>
      <c r="D13" s="200"/>
      <c r="E13" s="121" t="s">
        <v>693</v>
      </c>
      <c r="F13" s="603" t="s">
        <v>105</v>
      </c>
      <c r="G13" s="12"/>
      <c r="H13" s="603" t="s">
        <v>105</v>
      </c>
      <c r="I13" s="446">
        <v>61</v>
      </c>
      <c r="K13" s="237">
        <f>I13/$I$14</f>
        <v>1.0701566639181768E-3</v>
      </c>
      <c r="N13" s="214"/>
      <c r="O13" s="222"/>
    </row>
    <row r="14" spans="1:16" s="22" customFormat="1" ht="12" customHeight="1">
      <c r="A14" s="21"/>
      <c r="B14" s="2" t="s">
        <v>269</v>
      </c>
      <c r="C14" s="223">
        <f>(I6)/I14</f>
        <v>0.11248925457448115</v>
      </c>
      <c r="D14" s="2"/>
      <c r="E14" s="312" t="s">
        <v>127</v>
      </c>
      <c r="F14" s="314">
        <f>(F11*K11)+(F12*(K12+K13))</f>
        <v>4.1103708706864785E-2</v>
      </c>
      <c r="G14" s="313"/>
      <c r="H14" s="315">
        <f ca="1">(H11*K11)+(H12*(K12+K13))</f>
        <v>25.182084329904544</v>
      </c>
      <c r="I14" s="448">
        <f>I11+I12+I13</f>
        <v>57001</v>
      </c>
      <c r="J14" s="314"/>
      <c r="K14" s="602">
        <f>SUM(K11:K13)</f>
        <v>1</v>
      </c>
      <c r="N14" s="2"/>
      <c r="O14" s="2"/>
      <c r="P14" s="2"/>
    </row>
    <row r="15" spans="1:16" ht="12" customHeight="1">
      <c r="A15" s="3"/>
      <c r="B15" s="2" t="s">
        <v>268</v>
      </c>
      <c r="C15" s="223">
        <f>(I12+I10+I13)/I14</f>
        <v>3.7209873510991039E-2</v>
      </c>
      <c r="E15" s="103"/>
      <c r="N15" s="11"/>
      <c r="O15" s="222"/>
    </row>
    <row r="16" spans="1:16" ht="12" customHeight="1" thickBot="1">
      <c r="A16" s="120"/>
      <c r="B16" s="2" t="s">
        <v>271</v>
      </c>
      <c r="C16" s="223">
        <f>(I7+I8+I9)/I14</f>
        <v>0.64247995649199141</v>
      </c>
      <c r="I16" s="485" t="s">
        <v>31</v>
      </c>
      <c r="J16" s="485" t="s">
        <v>72</v>
      </c>
      <c r="K16" s="485" t="s">
        <v>5</v>
      </c>
      <c r="L16" s="486" t="s">
        <v>301</v>
      </c>
      <c r="M16" s="486" t="s">
        <v>302</v>
      </c>
    </row>
    <row r="17" spans="1:16" ht="12" customHeight="1">
      <c r="A17" s="120"/>
      <c r="C17" s="11"/>
      <c r="G17" s="11"/>
      <c r="I17" s="5">
        <v>1</v>
      </c>
      <c r="J17" s="360">
        <f>'Fair Value of Share'!C5</f>
        <v>-4125.3538104171466</v>
      </c>
      <c r="K17" s="11">
        <f ca="1">'Fair Value of Share'!C6</f>
        <v>9.6211215834147629E-2</v>
      </c>
      <c r="L17" s="489">
        <f ca="1">J17/(1+K17)^I17</f>
        <v>-3763.2837092238765</v>
      </c>
      <c r="M17" s="489">
        <f ca="1">L17*I17</f>
        <v>-3763.2837092238765</v>
      </c>
    </row>
    <row r="18" spans="1:16" ht="12" customHeight="1" thickBot="1">
      <c r="A18" s="120"/>
      <c r="B18" s="290" t="s">
        <v>273</v>
      </c>
      <c r="C18" s="483"/>
      <c r="G18" s="7"/>
      <c r="I18" s="5">
        <v>2</v>
      </c>
      <c r="J18" s="360">
        <f>'Fair Value of Share'!D5</f>
        <v>-3722.8373955911684</v>
      </c>
      <c r="K18" s="11">
        <f ca="1">'Fair Value of Share'!D6</f>
        <v>9.6211215834147629E-2</v>
      </c>
      <c r="L18" s="489">
        <f t="shared" ref="L18:L25" ca="1" si="2">J18/(1+K18)^I18</f>
        <v>-3098.0297596245969</v>
      </c>
      <c r="M18" s="489">
        <f t="shared" ref="M18:M25" ca="1" si="3">L18*I18</f>
        <v>-6196.0595192491937</v>
      </c>
    </row>
    <row r="19" spans="1:16" ht="12" customHeight="1">
      <c r="A19" s="6"/>
      <c r="B19" s="2" t="s">
        <v>274</v>
      </c>
      <c r="C19" s="223">
        <v>1</v>
      </c>
      <c r="G19" s="11"/>
      <c r="I19" s="5">
        <v>3</v>
      </c>
      <c r="J19" s="360">
        <f>'Fair Value of Share'!E5</f>
        <v>-2930.7359835908901</v>
      </c>
      <c r="K19" s="11">
        <f ca="1">'Fair Value of Share'!E6</f>
        <v>9.2944909984520083E-2</v>
      </c>
      <c r="L19" s="489">
        <f t="shared" ca="1" si="2"/>
        <v>-2244.8218510219604</v>
      </c>
      <c r="M19" s="489">
        <f t="shared" ca="1" si="3"/>
        <v>-6734.4655530658811</v>
      </c>
    </row>
    <row r="20" spans="1:16" ht="12" customHeight="1">
      <c r="A20" s="6"/>
      <c r="B20" s="2" t="s">
        <v>275</v>
      </c>
      <c r="C20" s="223">
        <v>0</v>
      </c>
      <c r="I20" s="469">
        <v>4</v>
      </c>
      <c r="J20" s="455">
        <f>'Fair Value of Share'!F5</f>
        <v>-2138.8027019591614</v>
      </c>
      <c r="K20" s="11">
        <f ca="1">'Fair Value of Share'!F6</f>
        <v>8.9678604134892537E-2</v>
      </c>
      <c r="L20" s="489">
        <f t="shared" ca="1" si="2"/>
        <v>-1516.9701310978953</v>
      </c>
      <c r="M20" s="489">
        <f t="shared" ca="1" si="3"/>
        <v>-6067.8805243915813</v>
      </c>
    </row>
    <row r="21" spans="1:16" ht="12" customHeight="1">
      <c r="A21" s="6"/>
      <c r="C21" s="223"/>
      <c r="G21" s="14"/>
      <c r="I21" s="469">
        <v>5</v>
      </c>
      <c r="J21" s="455">
        <f>'Fair Value of Share'!G5</f>
        <v>-1353.6106209092877</v>
      </c>
      <c r="K21" s="11">
        <f ca="1">'Fair Value of Share'!G6</f>
        <v>8.6412298285264991E-2</v>
      </c>
      <c r="L21" s="489">
        <f t="shared" ca="1" si="2"/>
        <v>-894.37651600609308</v>
      </c>
      <c r="M21" s="489">
        <f ca="1">L21*I21</f>
        <v>-4471.8825800304658</v>
      </c>
    </row>
    <row r="22" spans="1:16" ht="12" customHeight="1" thickBot="1">
      <c r="A22" s="121"/>
      <c r="B22" s="290" t="s">
        <v>276</v>
      </c>
      <c r="C22" s="483"/>
      <c r="I22" s="469">
        <v>6</v>
      </c>
      <c r="J22" s="455">
        <f>'Fair Value of Share'!H5</f>
        <v>-555.12507341606124</v>
      </c>
      <c r="K22" s="11">
        <f ca="1">'Fair Value of Share'!H6</f>
        <v>8.3145992435637445E-2</v>
      </c>
      <c r="L22" s="489">
        <f t="shared" ca="1" si="2"/>
        <v>-343.77070156557193</v>
      </c>
      <c r="M22" s="489">
        <f t="shared" ca="1" si="3"/>
        <v>-2062.6242093934316</v>
      </c>
    </row>
    <row r="23" spans="1:16" s="24" customFormat="1" ht="12" customHeight="1">
      <c r="B23" s="2" t="s">
        <v>277</v>
      </c>
      <c r="C23" s="223">
        <v>1</v>
      </c>
      <c r="D23" s="2"/>
      <c r="E23" s="2"/>
      <c r="F23" s="2"/>
      <c r="G23" s="2"/>
      <c r="H23" s="2"/>
      <c r="I23" s="469">
        <v>7</v>
      </c>
      <c r="J23" s="455">
        <f>'Fair Value of Share'!I5</f>
        <v>247.07641239397185</v>
      </c>
      <c r="K23" s="11">
        <f ca="1">'Fair Value of Share'!I6</f>
        <v>7.9879686586009899E-2</v>
      </c>
      <c r="L23" s="489">
        <f t="shared" ca="1" si="2"/>
        <v>144.27918616498224</v>
      </c>
      <c r="M23" s="489">
        <f t="shared" ca="1" si="3"/>
        <v>1009.9543031548757</v>
      </c>
      <c r="N23" s="2"/>
      <c r="O23" s="2"/>
      <c r="P23" s="2"/>
    </row>
    <row r="24" spans="1:16" ht="12" customHeight="1">
      <c r="B24" s="2" t="s">
        <v>278</v>
      </c>
      <c r="C24" s="223">
        <v>0</v>
      </c>
      <c r="I24" s="469">
        <v>8</v>
      </c>
      <c r="J24" s="455">
        <f>'Fair Value of Share'!J5</f>
        <v>665.99896498342764</v>
      </c>
      <c r="K24" s="11">
        <f ca="1">'Fair Value of Share'!J6</f>
        <v>7.6613380736382353E-2</v>
      </c>
      <c r="L24" s="489">
        <f t="shared" ca="1" si="2"/>
        <v>368.97366404270758</v>
      </c>
      <c r="M24" s="489">
        <f t="shared" ca="1" si="3"/>
        <v>2951.7893123416607</v>
      </c>
    </row>
    <row r="25" spans="1:16" ht="12" customHeight="1">
      <c r="I25" s="469">
        <v>9</v>
      </c>
      <c r="J25" s="455">
        <f>'Fair Value of Share'!K5</f>
        <v>1091.4169522869065</v>
      </c>
      <c r="K25" s="11">
        <f ca="1">'Fair Value of Share'!K6</f>
        <v>7.3347074886754807E-2</v>
      </c>
      <c r="L25" s="489">
        <f t="shared" ca="1" si="2"/>
        <v>577.20369344330607</v>
      </c>
      <c r="M25" s="489">
        <f t="shared" ca="1" si="3"/>
        <v>5194.8332409897548</v>
      </c>
    </row>
    <row r="26" spans="1:16" ht="12" customHeight="1">
      <c r="I26" s="469">
        <v>10</v>
      </c>
      <c r="J26" s="455">
        <f>'Fair Value of Share'!L5</f>
        <v>1874.3867203736058</v>
      </c>
      <c r="K26" s="11">
        <f ca="1">'Fair Value of Share'!L6</f>
        <v>7.0080769037127261E-2</v>
      </c>
      <c r="L26" s="489">
        <f ca="1">(J26/(1+K26)^I26)+'Fair Value of Share'!C14</f>
        <v>19521.645769309114</v>
      </c>
      <c r="M26" s="489">
        <f ca="1">L26*I26</f>
        <v>195216.45769309113</v>
      </c>
    </row>
    <row r="27" spans="1:16" ht="12" customHeight="1">
      <c r="L27" s="392">
        <f ca="1">SUM(L17:L26)</f>
        <v>8750.8496444201119</v>
      </c>
      <c r="M27" s="392">
        <f ca="1">SUM(M17:M26)</f>
        <v>175076.83845422301</v>
      </c>
    </row>
    <row r="29" spans="1:16" ht="12" customHeight="1">
      <c r="L29" s="159" t="s">
        <v>303</v>
      </c>
      <c r="M29" s="487" t="str">
        <f ca="1">CONCATENATE(ROUND(M27/L27,2)," years")</f>
        <v>20.01 years</v>
      </c>
    </row>
  </sheetData>
  <pageMargins left="0.7" right="0.7" top="0.75" bottom="0.75" header="0.3" footer="0.3"/>
  <pageSetup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8"/>
  <sheetViews>
    <sheetView workbookViewId="0"/>
  </sheetViews>
  <sheetFormatPr defaultRowHeight="12" customHeight="1"/>
  <cols>
    <col min="1" max="1" width="2" style="2" customWidth="1"/>
    <col min="2" max="2" width="14.42578125" style="2" customWidth="1"/>
    <col min="3" max="3" width="13.5703125" style="2" customWidth="1"/>
    <col min="4" max="4" width="8.7109375" style="2" customWidth="1"/>
    <col min="5" max="5" width="13.140625" style="2" customWidth="1"/>
    <col min="6" max="6" width="11.7109375" style="2" customWidth="1"/>
    <col min="7" max="7" width="11.42578125" style="2" customWidth="1"/>
    <col min="8" max="8" width="11.85546875" style="2" customWidth="1"/>
    <col min="9" max="9" width="7" style="2" customWidth="1"/>
    <col min="10" max="10" width="9.85546875" style="2" customWidth="1"/>
    <col min="11" max="11" width="11"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5" t="s">
        <v>258</v>
      </c>
    </row>
    <row r="3" spans="1:16" ht="12" customHeight="1">
      <c r="B3" s="267" t="s">
        <v>230</v>
      </c>
      <c r="C3" s="267" t="s">
        <v>151</v>
      </c>
      <c r="D3" s="267" t="s">
        <v>212</v>
      </c>
      <c r="E3" s="484" t="s">
        <v>7</v>
      </c>
      <c r="F3" s="484" t="s">
        <v>317</v>
      </c>
      <c r="G3" s="484" t="s">
        <v>3</v>
      </c>
      <c r="H3" s="484" t="s">
        <v>119</v>
      </c>
      <c r="I3" s="484" t="s">
        <v>259</v>
      </c>
      <c r="J3" s="495" t="s">
        <v>253</v>
      </c>
      <c r="K3" s="484" t="s">
        <v>232</v>
      </c>
      <c r="L3" s="484" t="s">
        <v>238</v>
      </c>
      <c r="M3" s="484" t="s">
        <v>256</v>
      </c>
      <c r="N3" s="484" t="s">
        <v>255</v>
      </c>
      <c r="O3" s="484" t="s">
        <v>5</v>
      </c>
    </row>
    <row r="4" spans="1:16" ht="12" customHeight="1">
      <c r="B4" s="499">
        <v>0</v>
      </c>
      <c r="C4" s="472">
        <f>B4/(100%-B4)</f>
        <v>0</v>
      </c>
      <c r="D4" s="500">
        <f t="shared" ref="D4:D13" si="0">$C$16*(1+(1-$C$15)*C4)</f>
        <v>0.94013915985719387</v>
      </c>
      <c r="E4" s="471">
        <f t="shared" ref="E4:E13" si="1">$C$17+($C$18*D4)</f>
        <v>8.6273483402630344E-2</v>
      </c>
      <c r="F4" s="501">
        <f t="shared" ref="F4:F13" ca="1" si="2">B4*$C$19</f>
        <v>0</v>
      </c>
      <c r="G4" s="501">
        <f t="shared" ref="G4:G13" si="3">$C$20</f>
        <v>-3951.3451136692033</v>
      </c>
      <c r="H4" s="501">
        <f ca="1">F4*$C$21</f>
        <v>0</v>
      </c>
      <c r="I4" s="488" t="s">
        <v>105</v>
      </c>
      <c r="J4" s="497" t="s">
        <v>159</v>
      </c>
      <c r="K4" s="502">
        <v>7.4999999999999997E-3</v>
      </c>
      <c r="L4" s="503">
        <f t="shared" ref="L4:L13" si="4">$C$17+K4</f>
        <v>4.1820000000000003E-2</v>
      </c>
      <c r="M4" s="503">
        <f>C15</f>
        <v>0.22029957420656662</v>
      </c>
      <c r="N4" s="503">
        <f t="shared" ref="N4:N13" si="5">L4*(1-M4)</f>
        <v>3.2607071806681383E-2</v>
      </c>
      <c r="O4" s="336">
        <f t="shared" ref="O4:O13" si="6">(E4*(100%-B4))+(N4*B4)</f>
        <v>8.6273483402630344E-2</v>
      </c>
      <c r="P4" s="206"/>
    </row>
    <row r="5" spans="1:16" ht="12" customHeight="1">
      <c r="B5" s="119">
        <v>0.1</v>
      </c>
      <c r="C5" s="472">
        <f t="shared" ref="C5:C13" si="7">B5/(100%-B5)</f>
        <v>0.11111111111111112</v>
      </c>
      <c r="D5" s="500">
        <f t="shared" si="0"/>
        <v>1.0215865935511643</v>
      </c>
      <c r="E5" s="471">
        <f t="shared" si="1"/>
        <v>9.0774389306017333E-2</v>
      </c>
      <c r="F5" s="501">
        <f ca="1">B5*$C$19</f>
        <v>14155.078639190368</v>
      </c>
      <c r="G5" s="501">
        <f t="shared" si="3"/>
        <v>-3951.3451136692033</v>
      </c>
      <c r="H5" s="501">
        <f t="shared" ref="H5:H13" ca="1" si="8">F5*L5</f>
        <v>2467.5133083836654</v>
      </c>
      <c r="I5" s="504">
        <f t="shared" ref="I5:I13" ca="1" si="9">G5/H5</f>
        <v>-1.6013470323519818</v>
      </c>
      <c r="J5" s="498" t="str">
        <f ca="1">IF($C$21=1,VLOOKUP(I5,$J$17:$M$30,3),(IF($C$21=0,VLOOKUP(I5,$E$17:$H$30,3),VLOOKUP(I5,#REF!,3))))</f>
        <v>D</v>
      </c>
      <c r="K5" s="502">
        <v>0.14000000000000001</v>
      </c>
      <c r="L5" s="503">
        <f t="shared" si="4"/>
        <v>0.17432000000000003</v>
      </c>
      <c r="M5" s="503">
        <f t="shared" ref="M5:M13" ca="1" si="10">IF(H5&lt;G5,$C$15,$C$15*(G5/H5))</f>
        <v>-0.35277606938409067</v>
      </c>
      <c r="N5" s="503">
        <f t="shared" ca="1" si="5"/>
        <v>0.23581592441503474</v>
      </c>
      <c r="O5" s="336">
        <f t="shared" ca="1" si="6"/>
        <v>0.10527854281691908</v>
      </c>
      <c r="P5" s="206" t="s">
        <v>257</v>
      </c>
    </row>
    <row r="6" spans="1:16" ht="12" customHeight="1">
      <c r="B6" s="119">
        <v>0.2</v>
      </c>
      <c r="C6" s="472">
        <f t="shared" si="7"/>
        <v>0.25</v>
      </c>
      <c r="D6" s="500">
        <f t="shared" si="0"/>
        <v>1.1233958856686277</v>
      </c>
      <c r="E6" s="471">
        <f t="shared" si="1"/>
        <v>9.6400521685251095E-2</v>
      </c>
      <c r="F6" s="501">
        <f t="shared" ca="1" si="2"/>
        <v>28310.157278380735</v>
      </c>
      <c r="G6" s="501">
        <f t="shared" si="3"/>
        <v>-3951.3451136692033</v>
      </c>
      <c r="H6" s="501">
        <f t="shared" ca="1" si="8"/>
        <v>4935.0266167673308</v>
      </c>
      <c r="I6" s="504">
        <f t="shared" ca="1" si="9"/>
        <v>-0.80067351617599092</v>
      </c>
      <c r="J6" s="498" t="str">
        <f ca="1">IF($C$21=1,VLOOKUP(I6,$J$17:$M$30,3),(IF($C$21=0,VLOOKUP(I6,$E$17:$H$30,3),VLOOKUP(I6,#REF!,3))))</f>
        <v>D</v>
      </c>
      <c r="K6" s="502">
        <v>0.14000000000000001</v>
      </c>
      <c r="L6" s="503">
        <f t="shared" si="4"/>
        <v>0.17432000000000003</v>
      </c>
      <c r="M6" s="503">
        <f t="shared" ca="1" si="10"/>
        <v>-0.17638803469204534</v>
      </c>
      <c r="N6" s="503">
        <f t="shared" ca="1" si="5"/>
        <v>0.20506796220751738</v>
      </c>
      <c r="O6" s="336">
        <f t="shared" ca="1" si="6"/>
        <v>0.11813400978970437</v>
      </c>
    </row>
    <row r="7" spans="1:16" ht="12" customHeight="1">
      <c r="B7" s="119">
        <v>0.3</v>
      </c>
      <c r="C7" s="472">
        <f t="shared" si="7"/>
        <v>0.4285714285714286</v>
      </c>
      <c r="D7" s="500">
        <f t="shared" si="0"/>
        <v>1.2542935469625089</v>
      </c>
      <c r="E7" s="471">
        <f t="shared" si="1"/>
        <v>0.10363412045855161</v>
      </c>
      <c r="F7" s="501">
        <f t="shared" ca="1" si="2"/>
        <v>42465.235917571103</v>
      </c>
      <c r="G7" s="501">
        <f t="shared" si="3"/>
        <v>-3951.3451136692033</v>
      </c>
      <c r="H7" s="501">
        <f t="shared" ca="1" si="8"/>
        <v>7402.5399251509962</v>
      </c>
      <c r="I7" s="504">
        <f t="shared" ca="1" si="9"/>
        <v>-0.53378234411732728</v>
      </c>
      <c r="J7" s="498" t="str">
        <f ca="1">IF($C$21=1,VLOOKUP(I7,$J$17:$M$30,3),(IF($C$21=0,VLOOKUP(I7,$E$17:$H$30,3),VLOOKUP(I7,#REF!,3))))</f>
        <v>D</v>
      </c>
      <c r="K7" s="502">
        <v>0.14000000000000001</v>
      </c>
      <c r="L7" s="503">
        <f t="shared" si="4"/>
        <v>0.17432000000000003</v>
      </c>
      <c r="M7" s="503">
        <f t="shared" ca="1" si="10"/>
        <v>-0.11759202312803022</v>
      </c>
      <c r="N7" s="503">
        <f t="shared" ca="1" si="5"/>
        <v>0.19481864147167827</v>
      </c>
      <c r="O7" s="336">
        <f t="shared" ca="1" si="6"/>
        <v>0.13098947676248959</v>
      </c>
    </row>
    <row r="8" spans="1:16" ht="12" customHeight="1">
      <c r="B8" s="119">
        <v>0.4</v>
      </c>
      <c r="C8" s="472">
        <f t="shared" si="7"/>
        <v>0.66666666666666674</v>
      </c>
      <c r="D8" s="500">
        <f t="shared" si="0"/>
        <v>1.4288237620210169</v>
      </c>
      <c r="E8" s="471">
        <f t="shared" si="1"/>
        <v>0.1132789188229523</v>
      </c>
      <c r="F8" s="501">
        <f t="shared" ca="1" si="2"/>
        <v>56620.31455676147</v>
      </c>
      <c r="G8" s="501">
        <f t="shared" si="3"/>
        <v>-3951.3451136692033</v>
      </c>
      <c r="H8" s="501">
        <f t="shared" ca="1" si="8"/>
        <v>9870.0532335346616</v>
      </c>
      <c r="I8" s="504">
        <f t="shared" ca="1" si="9"/>
        <v>-0.40033675808799546</v>
      </c>
      <c r="J8" s="498" t="str">
        <f ca="1">IF($C$21=1,VLOOKUP(I8,$J$17:$M$30,3),(IF($C$21=0,VLOOKUP(I8,$E$17:$H$30,3),VLOOKUP(I8,#REF!,3))))</f>
        <v>D</v>
      </c>
      <c r="K8" s="502">
        <v>0.14000000000000001</v>
      </c>
      <c r="L8" s="503">
        <f t="shared" si="4"/>
        <v>0.17432000000000003</v>
      </c>
      <c r="M8" s="503">
        <f t="shared" ca="1" si="10"/>
        <v>-8.8194017346022668E-2</v>
      </c>
      <c r="N8" s="503">
        <f t="shared" ca="1" si="5"/>
        <v>0.18969398110375871</v>
      </c>
      <c r="O8" s="336">
        <f t="shared" ca="1" si="6"/>
        <v>0.14384494373527487</v>
      </c>
    </row>
    <row r="9" spans="1:16" ht="12" customHeight="1">
      <c r="B9" s="119">
        <v>0.5</v>
      </c>
      <c r="C9" s="472">
        <f t="shared" si="7"/>
        <v>1</v>
      </c>
      <c r="D9" s="500">
        <f t="shared" si="0"/>
        <v>1.6731660631029288</v>
      </c>
      <c r="E9" s="471">
        <f t="shared" si="1"/>
        <v>0.12678163653311331</v>
      </c>
      <c r="F9" s="501">
        <f ca="1">B9*$C$19</f>
        <v>70775.393195951838</v>
      </c>
      <c r="G9" s="501">
        <f t="shared" si="3"/>
        <v>-3951.3451136692033</v>
      </c>
      <c r="H9" s="501">
        <f t="shared" ca="1" si="8"/>
        <v>12337.566541918326</v>
      </c>
      <c r="I9" s="504">
        <f t="shared" ca="1" si="9"/>
        <v>-0.32026940647039642</v>
      </c>
      <c r="J9" s="498" t="str">
        <f ca="1">IF($C$21=1,VLOOKUP(I9,$J$17:$M$30,3),(IF($C$21=0,VLOOKUP(I9,$E$17:$H$30,3),VLOOKUP(I9,#REF!,3))))</f>
        <v>D</v>
      </c>
      <c r="K9" s="502">
        <v>0.14000000000000001</v>
      </c>
      <c r="L9" s="503">
        <f t="shared" si="4"/>
        <v>0.17432000000000003</v>
      </c>
      <c r="M9" s="503">
        <f t="shared" ca="1" si="10"/>
        <v>-7.0555213876818151E-2</v>
      </c>
      <c r="N9" s="503">
        <f t="shared" ca="1" si="5"/>
        <v>0.18661918488300697</v>
      </c>
      <c r="O9" s="336">
        <f t="shared" ca="1" si="6"/>
        <v>0.15670041070806012</v>
      </c>
    </row>
    <row r="10" spans="1:16" ht="12" customHeight="1">
      <c r="A10" s="3"/>
      <c r="B10" s="119">
        <v>0.6</v>
      </c>
      <c r="C10" s="472">
        <f t="shared" si="7"/>
        <v>1.4999999999999998</v>
      </c>
      <c r="D10" s="500">
        <f t="shared" si="0"/>
        <v>2.0396795147257958</v>
      </c>
      <c r="E10" s="471">
        <f t="shared" si="1"/>
        <v>0.14703571309835475</v>
      </c>
      <c r="F10" s="501">
        <f t="shared" ca="1" si="2"/>
        <v>84930.471835142205</v>
      </c>
      <c r="G10" s="501">
        <f t="shared" si="3"/>
        <v>-3951.3451136692033</v>
      </c>
      <c r="H10" s="501">
        <f t="shared" ca="1" si="8"/>
        <v>14805.079850301992</v>
      </c>
      <c r="I10" s="504">
        <f t="shared" ca="1" si="9"/>
        <v>-0.26689117205866364</v>
      </c>
      <c r="J10" s="498" t="str">
        <f ca="1">IF($C$21=1,VLOOKUP(I10,$J$17:$M$30,3),(IF($C$21=0,VLOOKUP(I10,$E$17:$H$30,3),VLOOKUP(I10,#REF!,3))))</f>
        <v>D</v>
      </c>
      <c r="K10" s="502">
        <v>0.14000000000000001</v>
      </c>
      <c r="L10" s="503">
        <f t="shared" si="4"/>
        <v>0.17432000000000003</v>
      </c>
      <c r="M10" s="503">
        <f t="shared" ca="1" si="10"/>
        <v>-5.8796011564015108E-2</v>
      </c>
      <c r="N10" s="503">
        <f t="shared" ca="1" si="5"/>
        <v>0.18456932073583915</v>
      </c>
      <c r="O10" s="336">
        <f t="shared" ca="1" si="6"/>
        <v>0.1695558776808454</v>
      </c>
    </row>
    <row r="11" spans="1:16" ht="12" customHeight="1">
      <c r="A11" s="3"/>
      <c r="B11" s="119">
        <v>0.7</v>
      </c>
      <c r="C11" s="472">
        <f t="shared" si="7"/>
        <v>2.333333333333333</v>
      </c>
      <c r="D11" s="500">
        <f t="shared" si="0"/>
        <v>2.6505352674305751</v>
      </c>
      <c r="E11" s="471">
        <f t="shared" si="1"/>
        <v>0.18079250737375724</v>
      </c>
      <c r="F11" s="501">
        <f t="shared" ca="1" si="2"/>
        <v>99085.550474332573</v>
      </c>
      <c r="G11" s="501">
        <f t="shared" si="3"/>
        <v>-3951.3451136692033</v>
      </c>
      <c r="H11" s="501">
        <f t="shared" ca="1" si="8"/>
        <v>17272.593158685657</v>
      </c>
      <c r="I11" s="504">
        <f t="shared" ca="1" si="9"/>
        <v>-0.22876386176456887</v>
      </c>
      <c r="J11" s="498" t="str">
        <f ca="1">IF($C$21=1,VLOOKUP(I11,$J$17:$M$30,3),(IF($C$21=0,VLOOKUP(I11,$E$17:$H$30,3),VLOOKUP(I11,#REF!,3))))</f>
        <v>D</v>
      </c>
      <c r="K11" s="502">
        <v>0.14000000000000001</v>
      </c>
      <c r="L11" s="503">
        <f t="shared" si="4"/>
        <v>0.17432000000000003</v>
      </c>
      <c r="M11" s="503">
        <f t="shared" ca="1" si="10"/>
        <v>-5.039658134058439E-2</v>
      </c>
      <c r="N11" s="503">
        <f t="shared" ca="1" si="5"/>
        <v>0.18310513205929072</v>
      </c>
      <c r="O11" s="336">
        <f t="shared" ca="1" si="6"/>
        <v>0.18241134465363068</v>
      </c>
    </row>
    <row r="12" spans="1:16" ht="12" customHeight="1">
      <c r="A12" s="3"/>
      <c r="B12" s="119">
        <v>0.8</v>
      </c>
      <c r="C12" s="472">
        <f t="shared" si="7"/>
        <v>4.0000000000000009</v>
      </c>
      <c r="D12" s="500">
        <f t="shared" si="0"/>
        <v>3.8722467728401333</v>
      </c>
      <c r="E12" s="471">
        <f t="shared" si="1"/>
        <v>0.24830609592456215</v>
      </c>
      <c r="F12" s="501">
        <f t="shared" ca="1" si="2"/>
        <v>113240.62911352294</v>
      </c>
      <c r="G12" s="501">
        <f t="shared" si="3"/>
        <v>-3951.3451136692033</v>
      </c>
      <c r="H12" s="501">
        <f t="shared" ca="1" si="8"/>
        <v>19740.106467069323</v>
      </c>
      <c r="I12" s="504">
        <f t="shared" ca="1" si="9"/>
        <v>-0.20016837904399773</v>
      </c>
      <c r="J12" s="498" t="str">
        <f ca="1">IF($C$21=1,VLOOKUP(I12,$J$17:$M$30,3),(IF($C$21=0,VLOOKUP(I12,$E$17:$H$30,3),VLOOKUP(I12,#REF!,3))))</f>
        <v>D</v>
      </c>
      <c r="K12" s="502">
        <v>0.14000000000000001</v>
      </c>
      <c r="L12" s="503">
        <f t="shared" si="4"/>
        <v>0.17432000000000003</v>
      </c>
      <c r="M12" s="503">
        <f t="shared" ca="1" si="10"/>
        <v>-4.4097008673011334E-2</v>
      </c>
      <c r="N12" s="503">
        <f t="shared" ca="1" si="5"/>
        <v>0.18200699055187936</v>
      </c>
      <c r="O12" s="336">
        <f t="shared" ca="1" si="6"/>
        <v>0.1952668116264159</v>
      </c>
    </row>
    <row r="13" spans="1:16" ht="12" customHeight="1">
      <c r="A13" s="3"/>
      <c r="B13" s="119">
        <v>0.9</v>
      </c>
      <c r="C13" s="472">
        <f t="shared" si="7"/>
        <v>9.0000000000000018</v>
      </c>
      <c r="D13" s="500">
        <f t="shared" si="0"/>
        <v>7.537381289068807</v>
      </c>
      <c r="E13" s="471">
        <f t="shared" si="1"/>
        <v>0.4508468615769769</v>
      </c>
      <c r="F13" s="501">
        <f t="shared" ca="1" si="2"/>
        <v>127395.70775271331</v>
      </c>
      <c r="G13" s="501">
        <f t="shared" si="3"/>
        <v>-3951.3451136692033</v>
      </c>
      <c r="H13" s="501">
        <f t="shared" ca="1" si="8"/>
        <v>22207.619775452989</v>
      </c>
      <c r="I13" s="504">
        <f t="shared" ca="1" si="9"/>
        <v>-0.17792744803910909</v>
      </c>
      <c r="J13" s="498" t="str">
        <f ca="1">IF($C$21=1,VLOOKUP(I13,$J$17:$M$30,3),(IF($C$21=0,VLOOKUP(I13,$E$17:$H$30,3),VLOOKUP(I13,#REF!,3))))</f>
        <v>D</v>
      </c>
      <c r="K13" s="502">
        <v>0.14000000000000001</v>
      </c>
      <c r="L13" s="503">
        <f t="shared" si="4"/>
        <v>0.17432000000000003</v>
      </c>
      <c r="M13" s="503">
        <f t="shared" ca="1" si="10"/>
        <v>-3.9197341042676741E-2</v>
      </c>
      <c r="N13" s="503">
        <f t="shared" ca="1" si="5"/>
        <v>0.18115288049055944</v>
      </c>
      <c r="O13" s="336">
        <f t="shared" ca="1" si="6"/>
        <v>0.20812227859920118</v>
      </c>
    </row>
    <row r="14" spans="1:16" s="22" customFormat="1" ht="12" customHeight="1">
      <c r="A14" s="21"/>
    </row>
    <row r="15" spans="1:16" ht="12" customHeight="1">
      <c r="A15" s="3"/>
      <c r="B15" s="562" t="s">
        <v>206</v>
      </c>
      <c r="C15" s="563">
        <f>'Risk Free Rate &amp; ERP'!H20</f>
        <v>0.22029957420656662</v>
      </c>
      <c r="D15" s="3"/>
      <c r="E15" s="623" t="s">
        <v>236</v>
      </c>
      <c r="F15" s="624"/>
      <c r="G15" s="624"/>
      <c r="H15" s="625"/>
      <c r="J15" s="623" t="s">
        <v>237</v>
      </c>
      <c r="K15" s="624"/>
      <c r="L15" s="624"/>
      <c r="M15" s="625"/>
    </row>
    <row r="16" spans="1:16" ht="12" customHeight="1">
      <c r="A16" s="120"/>
      <c r="B16" s="562" t="s">
        <v>111</v>
      </c>
      <c r="C16" s="564">
        <f>'Bottom Up Beta'!C11</f>
        <v>0.94013915985719387</v>
      </c>
      <c r="D16" s="3"/>
      <c r="E16" s="207" t="s">
        <v>234</v>
      </c>
      <c r="F16" s="208"/>
      <c r="G16" s="209" t="s">
        <v>235</v>
      </c>
      <c r="H16" s="210" t="s">
        <v>232</v>
      </c>
      <c r="J16" s="207" t="s">
        <v>234</v>
      </c>
      <c r="K16" s="208"/>
      <c r="L16" s="209" t="s">
        <v>235</v>
      </c>
      <c r="M16" s="210" t="s">
        <v>232</v>
      </c>
    </row>
    <row r="17" spans="1:15" ht="12" customHeight="1">
      <c r="A17" s="120"/>
      <c r="B17" s="562" t="s">
        <v>231</v>
      </c>
      <c r="C17" s="337">
        <f>'Risk Free Rate &amp; ERP'!C6</f>
        <v>3.4320000000000003E-2</v>
      </c>
      <c r="D17" s="3"/>
      <c r="E17" s="209">
        <v>-10000000</v>
      </c>
      <c r="F17" s="209">
        <v>0.4999999</v>
      </c>
      <c r="G17" s="209" t="s">
        <v>233</v>
      </c>
      <c r="H17" s="211">
        <v>0.14000000000000001</v>
      </c>
      <c r="J17" s="209">
        <v>-10000000</v>
      </c>
      <c r="K17" s="209">
        <v>0.19999990000000001</v>
      </c>
      <c r="L17" s="209" t="s">
        <v>233</v>
      </c>
      <c r="M17" s="211">
        <v>0.14000000000000001</v>
      </c>
    </row>
    <row r="18" spans="1:15" ht="12" customHeight="1">
      <c r="A18" s="120"/>
      <c r="B18" s="562" t="s">
        <v>109</v>
      </c>
      <c r="C18" s="337">
        <f>'Risk Free Rate &amp; ERP'!C8</f>
        <v>5.5261482151772102E-2</v>
      </c>
      <c r="D18" s="25"/>
      <c r="E18" s="209">
        <v>0.5</v>
      </c>
      <c r="F18" s="212">
        <v>0.79999989999999999</v>
      </c>
      <c r="G18" s="209" t="s">
        <v>29</v>
      </c>
      <c r="H18" s="211">
        <v>0.127</v>
      </c>
      <c r="I18" s="90"/>
      <c r="J18" s="212">
        <v>0.2</v>
      </c>
      <c r="K18" s="212">
        <v>0.64999989999999996</v>
      </c>
      <c r="L18" s="209" t="s">
        <v>29</v>
      </c>
      <c r="M18" s="211">
        <v>0.127</v>
      </c>
    </row>
    <row r="19" spans="1:15" ht="12" customHeight="1">
      <c r="A19" s="6"/>
      <c r="B19" s="562" t="s">
        <v>254</v>
      </c>
      <c r="C19" s="377">
        <f ca="1">'Bottom Up Beta'!C13+'Bottom Up Beta'!C14</f>
        <v>141550.78639190368</v>
      </c>
      <c r="D19" s="25"/>
      <c r="E19" s="212">
        <v>0.8</v>
      </c>
      <c r="F19" s="212">
        <v>1.2499998999999999</v>
      </c>
      <c r="G19" s="209" t="s">
        <v>242</v>
      </c>
      <c r="H19" s="211">
        <v>0.115</v>
      </c>
      <c r="I19" s="204"/>
      <c r="J19" s="212">
        <v>0.65</v>
      </c>
      <c r="K19" s="212">
        <v>0.79999989999999999</v>
      </c>
      <c r="L19" s="209" t="s">
        <v>242</v>
      </c>
      <c r="M19" s="211">
        <v>0.115</v>
      </c>
    </row>
    <row r="20" spans="1:15" ht="12" customHeight="1">
      <c r="A20" s="6"/>
      <c r="B20" s="562" t="s">
        <v>239</v>
      </c>
      <c r="C20" s="377">
        <f>'Accounting Adjustments'!C48</f>
        <v>-3951.3451136692033</v>
      </c>
      <c r="D20" s="25"/>
      <c r="E20" s="212">
        <v>1.25</v>
      </c>
      <c r="F20" s="212">
        <v>1.4999998999999999</v>
      </c>
      <c r="G20" s="209" t="s">
        <v>243</v>
      </c>
      <c r="H20" s="211">
        <v>0.1</v>
      </c>
      <c r="I20" s="203"/>
      <c r="J20" s="212">
        <v>0.8</v>
      </c>
      <c r="K20" s="212">
        <v>1.2499998999999999</v>
      </c>
      <c r="L20" s="209" t="s">
        <v>243</v>
      </c>
      <c r="M20" s="211">
        <v>0.1</v>
      </c>
    </row>
    <row r="21" spans="1:15" ht="12" customHeight="1">
      <c r="A21" s="6"/>
      <c r="B21" s="562" t="s">
        <v>252</v>
      </c>
      <c r="C21" s="496">
        <v>0</v>
      </c>
      <c r="E21" s="212">
        <v>1.5</v>
      </c>
      <c r="F21" s="212">
        <v>1.9999998999999999</v>
      </c>
      <c r="G21" s="209" t="s">
        <v>244</v>
      </c>
      <c r="H21" s="211">
        <v>0.08</v>
      </c>
      <c r="I21" s="55"/>
      <c r="J21" s="212">
        <v>1.25</v>
      </c>
      <c r="K21" s="212">
        <v>1.4999998999999999</v>
      </c>
      <c r="L21" s="209" t="s">
        <v>244</v>
      </c>
      <c r="M21" s="211">
        <v>0.08</v>
      </c>
    </row>
    <row r="22" spans="1:15" ht="12" customHeight="1">
      <c r="A22" s="121"/>
      <c r="B22" s="205" t="s">
        <v>251</v>
      </c>
      <c r="C22" s="169"/>
      <c r="D22" s="25"/>
      <c r="E22" s="212">
        <v>2</v>
      </c>
      <c r="F22" s="212">
        <v>2.4999999000000002</v>
      </c>
      <c r="G22" s="209" t="s">
        <v>245</v>
      </c>
      <c r="H22" s="211">
        <v>6.5000000000000002E-2</v>
      </c>
      <c r="I22" s="201"/>
      <c r="J22" s="212">
        <v>1.5</v>
      </c>
      <c r="K22" s="212">
        <v>1.7499998999999999</v>
      </c>
      <c r="L22" s="209" t="s">
        <v>245</v>
      </c>
      <c r="M22" s="211">
        <v>6.5000000000000002E-2</v>
      </c>
    </row>
    <row r="23" spans="1:15" s="24" customFormat="1" ht="12" customHeight="1">
      <c r="B23" s="199"/>
      <c r="C23" s="152"/>
      <c r="D23" s="25"/>
      <c r="E23" s="212">
        <v>2.5</v>
      </c>
      <c r="F23" s="212">
        <v>2.9999999000000002</v>
      </c>
      <c r="G23" s="209" t="s">
        <v>246</v>
      </c>
      <c r="H23" s="211">
        <v>4.7500000000000001E-2</v>
      </c>
      <c r="I23" s="204"/>
      <c r="J23" s="212">
        <v>1.75</v>
      </c>
      <c r="K23" s="212">
        <v>1.9999998999999999</v>
      </c>
      <c r="L23" s="209" t="s">
        <v>246</v>
      </c>
      <c r="M23" s="211">
        <v>4.7500000000000001E-2</v>
      </c>
    </row>
    <row r="24" spans="1:15" ht="12" customHeight="1">
      <c r="B24" s="213"/>
      <c r="C24" s="154"/>
      <c r="D24" s="168"/>
      <c r="E24" s="212">
        <v>3</v>
      </c>
      <c r="F24" s="212">
        <v>3.4999999000000002</v>
      </c>
      <c r="G24" s="209" t="s">
        <v>247</v>
      </c>
      <c r="H24" s="211">
        <v>3.5000000000000003E-2</v>
      </c>
      <c r="I24" s="203"/>
      <c r="J24" s="212">
        <v>2</v>
      </c>
      <c r="K24" s="212">
        <v>2.4999999000000002</v>
      </c>
      <c r="L24" s="209" t="s">
        <v>247</v>
      </c>
      <c r="M24" s="211">
        <v>3.5000000000000003E-2</v>
      </c>
    </row>
    <row r="25" spans="1:15" ht="12" customHeight="1">
      <c r="B25" s="213"/>
      <c r="C25" s="154"/>
      <c r="E25" s="212">
        <v>3.5</v>
      </c>
      <c r="F25" s="212">
        <v>4.4999998999999997</v>
      </c>
      <c r="G25" s="209" t="s">
        <v>241</v>
      </c>
      <c r="H25" s="211">
        <v>2.2499999999999999E-2</v>
      </c>
      <c r="I25" s="55"/>
      <c r="J25" s="212">
        <v>2.5</v>
      </c>
      <c r="K25" s="212">
        <v>2.9999999000000002</v>
      </c>
      <c r="L25" s="209" t="s">
        <v>241</v>
      </c>
      <c r="M25" s="211">
        <v>2.2499999999999999E-2</v>
      </c>
    </row>
    <row r="26" spans="1:15" ht="12" customHeight="1">
      <c r="B26" s="206"/>
      <c r="D26" s="28"/>
      <c r="E26" s="212">
        <v>4.5</v>
      </c>
      <c r="F26" s="212">
        <v>5.9999998999999997</v>
      </c>
      <c r="G26" s="209" t="s">
        <v>240</v>
      </c>
      <c r="H26" s="211">
        <v>0.02</v>
      </c>
      <c r="I26" s="201"/>
      <c r="J26" s="212">
        <v>3</v>
      </c>
      <c r="K26" s="212">
        <v>4.2499998999999997</v>
      </c>
      <c r="L26" s="209" t="s">
        <v>240</v>
      </c>
      <c r="M26" s="211">
        <v>0.02</v>
      </c>
    </row>
    <row r="27" spans="1:15" ht="12" customHeight="1">
      <c r="B27" s="213"/>
      <c r="D27" s="3"/>
      <c r="E27" s="212">
        <v>6</v>
      </c>
      <c r="F27" s="212">
        <v>7.4999998999999997</v>
      </c>
      <c r="G27" s="209" t="s">
        <v>248</v>
      </c>
      <c r="H27" s="211">
        <v>1.7999999999999999E-2</v>
      </c>
      <c r="I27" s="25"/>
      <c r="J27" s="212">
        <v>4.25</v>
      </c>
      <c r="K27" s="212">
        <v>5.4999998999999997</v>
      </c>
      <c r="L27" s="209" t="s">
        <v>248</v>
      </c>
      <c r="M27" s="211">
        <v>1.7999999999999999E-2</v>
      </c>
    </row>
    <row r="28" spans="1:15" ht="12" customHeight="1">
      <c r="B28" s="206"/>
      <c r="D28" s="3"/>
      <c r="E28" s="212">
        <v>7.5</v>
      </c>
      <c r="F28" s="212">
        <v>9.4999999000000006</v>
      </c>
      <c r="G28" s="209" t="s">
        <v>249</v>
      </c>
      <c r="H28" s="211">
        <v>1.4999999999999999E-2</v>
      </c>
      <c r="I28" s="5"/>
      <c r="J28" s="212">
        <v>5.5</v>
      </c>
      <c r="K28" s="212">
        <v>6.4999998999999997</v>
      </c>
      <c r="L28" s="209" t="s">
        <v>249</v>
      </c>
      <c r="M28" s="211">
        <v>1.4999999999999999E-2</v>
      </c>
    </row>
    <row r="29" spans="1:15" ht="12" customHeight="1">
      <c r="B29" s="3"/>
      <c r="C29" s="3"/>
      <c r="D29" s="3"/>
      <c r="E29" s="212">
        <v>9.5</v>
      </c>
      <c r="F29" s="212">
        <v>12.499999000000001</v>
      </c>
      <c r="G29" s="209" t="s">
        <v>250</v>
      </c>
      <c r="H29" s="211">
        <v>0.01</v>
      </c>
      <c r="I29" s="5"/>
      <c r="J29" s="212">
        <v>6.5</v>
      </c>
      <c r="K29" s="212">
        <v>8.4999999000000006</v>
      </c>
      <c r="L29" s="209" t="s">
        <v>250</v>
      </c>
      <c r="M29" s="211">
        <v>0.01</v>
      </c>
    </row>
    <row r="30" spans="1:15" ht="12" customHeight="1">
      <c r="B30" s="216"/>
      <c r="C30" s="3"/>
      <c r="D30" s="3"/>
      <c r="E30" s="212">
        <v>12.5</v>
      </c>
      <c r="F30" s="212">
        <v>100000000</v>
      </c>
      <c r="G30" s="209" t="s">
        <v>159</v>
      </c>
      <c r="H30" s="211">
        <v>7.4999999999999997E-3</v>
      </c>
      <c r="I30" s="3"/>
      <c r="J30" s="212">
        <v>8.5</v>
      </c>
      <c r="K30" s="212">
        <v>100000000</v>
      </c>
      <c r="L30" s="209" t="s">
        <v>159</v>
      </c>
      <c r="M30" s="211">
        <v>7.4999999999999997E-3</v>
      </c>
    </row>
    <row r="31" spans="1:15" ht="12" customHeight="1">
      <c r="E31" s="27"/>
      <c r="F31" s="90"/>
      <c r="G31" s="3"/>
      <c r="H31" s="3"/>
      <c r="I31" s="3"/>
      <c r="J31" s="3"/>
      <c r="K31" s="3"/>
      <c r="L31" s="3"/>
    </row>
    <row r="32" spans="1:15" ht="12" customHeight="1">
      <c r="B32" s="217"/>
      <c r="C32" s="217"/>
      <c r="D32" s="217"/>
      <c r="E32" s="218"/>
      <c r="F32" s="218"/>
      <c r="G32" s="218"/>
      <c r="H32" s="218"/>
      <c r="I32" s="218"/>
      <c r="J32" s="219"/>
      <c r="K32" s="218"/>
      <c r="L32" s="218"/>
      <c r="M32" s="218"/>
      <c r="N32" s="218"/>
      <c r="O32" s="218"/>
    </row>
    <row r="34" spans="2:16" ht="12" customHeight="1">
      <c r="B34" s="267" t="s">
        <v>230</v>
      </c>
      <c r="C34" s="267" t="s">
        <v>151</v>
      </c>
      <c r="D34" s="267" t="s">
        <v>212</v>
      </c>
      <c r="E34" s="484" t="s">
        <v>7</v>
      </c>
      <c r="F34" s="484" t="s">
        <v>317</v>
      </c>
      <c r="G34" s="484" t="s">
        <v>3</v>
      </c>
      <c r="H34" s="484" t="s">
        <v>119</v>
      </c>
      <c r="I34" s="484" t="s">
        <v>259</v>
      </c>
      <c r="J34" s="495" t="s">
        <v>253</v>
      </c>
      <c r="K34" s="484" t="s">
        <v>232</v>
      </c>
      <c r="L34" s="484" t="s">
        <v>238</v>
      </c>
      <c r="M34" s="484" t="s">
        <v>256</v>
      </c>
      <c r="N34" s="484" t="s">
        <v>255</v>
      </c>
      <c r="O34" s="484" t="s">
        <v>5</v>
      </c>
    </row>
    <row r="35" spans="2:16" ht="12" customHeight="1">
      <c r="B35" s="119">
        <v>5.0000000000000001E-3</v>
      </c>
      <c r="C35" s="472">
        <f>B35/(100%-B35)</f>
        <v>5.0251256281407036E-3</v>
      </c>
      <c r="D35" s="500">
        <f>$C$16*(1+(1-$C$15)*C35)</f>
        <v>0.94382271213481073</v>
      </c>
      <c r="E35" s="471">
        <f>$C$17+($C$18*D35)</f>
        <v>8.6477041961074988E-2</v>
      </c>
      <c r="F35" s="501">
        <f ca="1">B35*$C$19</f>
        <v>707.75393195951835</v>
      </c>
      <c r="G35" s="501">
        <f t="shared" ref="G35:G45" si="11">$C$20</f>
        <v>-3951.3451136692033</v>
      </c>
      <c r="H35" s="501">
        <f ca="1">F35*L35</f>
        <v>123.37566541918326</v>
      </c>
      <c r="I35" s="504">
        <f ca="1">G35/H35</f>
        <v>-32.026940647039638</v>
      </c>
      <c r="J35" s="498" t="str">
        <f ca="1">IF($C$21=1,VLOOKUP(I35,$J$17:$M$30,3),(IF($C$21=0,VLOOKUP(I35,$E$17:$H$30,3),VLOOKUP(I35,#REF!,3))))</f>
        <v>D</v>
      </c>
      <c r="K35" s="502">
        <v>0.14000000000000001</v>
      </c>
      <c r="L35" s="503">
        <f>$C$17+K35</f>
        <v>0.17432000000000003</v>
      </c>
      <c r="M35" s="503">
        <f ca="1">IF(H35&lt;G35,$C$15,$C$15*(G35/H35))</f>
        <v>-7.0555213876818135</v>
      </c>
      <c r="N35" s="503">
        <f ca="1">L35*(1-M35)</f>
        <v>1.4042384883006942</v>
      </c>
      <c r="O35" s="515">
        <f ca="1">(E35*(100%-B35))+(N35*B35)</f>
        <v>9.3065849192773081E-2</v>
      </c>
    </row>
    <row r="36" spans="2:16" ht="12" customHeight="1">
      <c r="B36" s="119">
        <v>0.01</v>
      </c>
      <c r="C36" s="472">
        <f>B36/(100%-B36)</f>
        <v>1.0101010101010102E-2</v>
      </c>
      <c r="D36" s="500">
        <f>$C$16*(1+(1-$C$15)*C36)</f>
        <v>0.94754347201119116</v>
      </c>
      <c r="E36" s="471">
        <f>$C$17+($C$18*D36)</f>
        <v>8.6682656666574612E-2</v>
      </c>
      <c r="F36" s="501">
        <f ca="1">B36*$C$19</f>
        <v>1415.5078639190367</v>
      </c>
      <c r="G36" s="501">
        <f t="shared" si="11"/>
        <v>-3951.3451136692033</v>
      </c>
      <c r="H36" s="501">
        <f ca="1">F36*L36</f>
        <v>246.75133083836653</v>
      </c>
      <c r="I36" s="504">
        <f ca="1">G36/H36</f>
        <v>-16.013470323519819</v>
      </c>
      <c r="J36" s="498" t="str">
        <f ca="1">IF($C$21=1,VLOOKUP(I36,$J$17:$M$30,3),(IF($C$21=0,VLOOKUP(I36,$E$17:$H$30,3),VLOOKUP(I36,#REF!,3))))</f>
        <v>D</v>
      </c>
      <c r="K36" s="502">
        <v>0.14000000000000001</v>
      </c>
      <c r="L36" s="503">
        <f>$C$17+K36</f>
        <v>0.17432000000000003</v>
      </c>
      <c r="M36" s="503">
        <f ca="1">IF(H36&lt;G36,$C$15,$C$15*(G36/H36))</f>
        <v>-3.5277606938409067</v>
      </c>
      <c r="N36" s="503">
        <f ca="1">L36*(1-M36)</f>
        <v>0.78927924415034711</v>
      </c>
      <c r="O36" s="515">
        <f ca="1">(E36*(100%-B36))+(N36*B36)</f>
        <v>9.3708622541412337E-2</v>
      </c>
    </row>
    <row r="37" spans="2:16" ht="12" customHeight="1">
      <c r="B37" s="119">
        <v>0.02</v>
      </c>
      <c r="C37" s="472">
        <f>B37/(100%-B37)</f>
        <v>2.0408163265306124E-2</v>
      </c>
      <c r="D37" s="500">
        <f t="shared" ref="D37:D45" si="12">$C$16*(1+(1-$C$15)*C37)</f>
        <v>0.9550988925764945</v>
      </c>
      <c r="E37" s="471">
        <f t="shared" ref="E37:E45" si="13">$C$17+($C$18*D37)</f>
        <v>8.7100180405293257E-2</v>
      </c>
      <c r="F37" s="501">
        <f t="shared" ref="F37:F45" ca="1" si="14">B37*$C$19</f>
        <v>2831.0157278380734</v>
      </c>
      <c r="G37" s="501">
        <f t="shared" si="11"/>
        <v>-3951.3451136692033</v>
      </c>
      <c r="H37" s="501">
        <f t="shared" ref="H37:H45" ca="1" si="15">F37*L37</f>
        <v>493.50266167673306</v>
      </c>
      <c r="I37" s="504">
        <f t="shared" ref="I37:I45" ca="1" si="16">G37/H37</f>
        <v>-8.0067351617599094</v>
      </c>
      <c r="J37" s="498" t="str">
        <f ca="1">IF($C$21=1,VLOOKUP(I37,$J$17:$M$30,3),(IF($C$21=0,VLOOKUP(I37,$E$17:$H$30,3),VLOOKUP(I37,#REF!,3))))</f>
        <v>D</v>
      </c>
      <c r="K37" s="502">
        <v>0.14000000000000001</v>
      </c>
      <c r="L37" s="503">
        <f t="shared" ref="L37:L45" si="17">$C$17+K37</f>
        <v>0.17432000000000003</v>
      </c>
      <c r="M37" s="503">
        <f t="shared" ref="M37:M45" ca="1" si="18">IF(H37&lt;G37,$C$15,$C$15*(G37/H37))</f>
        <v>-1.7638803469204534</v>
      </c>
      <c r="N37" s="503">
        <f t="shared" ref="N37:N45" ca="1" si="19">L37*(1-M37)</f>
        <v>0.48179962207517357</v>
      </c>
      <c r="O37" s="515">
        <f t="shared" ref="O37:O45" ca="1" si="20">(E37*(100%-B37))+(N37*B37)</f>
        <v>9.4994169238690862E-2</v>
      </c>
    </row>
    <row r="38" spans="2:16" ht="12" customHeight="1">
      <c r="B38" s="119">
        <v>0.03</v>
      </c>
      <c r="C38" s="472">
        <f>B38/(100%-B38)</f>
        <v>3.0927835051546393E-2</v>
      </c>
      <c r="D38" s="500">
        <f t="shared" si="12"/>
        <v>0.96281009500912385</v>
      </c>
      <c r="E38" s="471">
        <f t="shared" si="13"/>
        <v>8.7526312880892701E-2</v>
      </c>
      <c r="F38" s="501">
        <f t="shared" ca="1" si="14"/>
        <v>4246.5235917571099</v>
      </c>
      <c r="G38" s="501">
        <f t="shared" si="11"/>
        <v>-3951.3451136692033</v>
      </c>
      <c r="H38" s="501">
        <f t="shared" ca="1" si="15"/>
        <v>740.25399251509953</v>
      </c>
      <c r="I38" s="504">
        <f t="shared" ca="1" si="16"/>
        <v>-5.3378234411732741</v>
      </c>
      <c r="J38" s="498" t="str">
        <f ca="1">IF($C$21=1,VLOOKUP(I38,$J$17:$M$30,3),(IF($C$21=0,VLOOKUP(I38,$E$17:$H$30,3),VLOOKUP(I38,#REF!,3))))</f>
        <v>D</v>
      </c>
      <c r="K38" s="502">
        <v>0.14000000000000001</v>
      </c>
      <c r="L38" s="503">
        <f t="shared" si="17"/>
        <v>0.17432000000000003</v>
      </c>
      <c r="M38" s="503">
        <f t="shared" ca="1" si="18"/>
        <v>-1.1759202312803025</v>
      </c>
      <c r="N38" s="503">
        <f t="shared" ca="1" si="19"/>
        <v>0.37930641471678239</v>
      </c>
      <c r="O38" s="515">
        <f t="shared" ca="1" si="20"/>
        <v>9.6279715935969387E-2</v>
      </c>
    </row>
    <row r="39" spans="2:16" ht="12" customHeight="1">
      <c r="B39" s="119">
        <v>0.04</v>
      </c>
      <c r="C39" s="472">
        <f t="shared" ref="C39:C45" si="21">B39/(100%-B39)</f>
        <v>4.1666666666666671E-2</v>
      </c>
      <c r="D39" s="500">
        <f t="shared" si="12"/>
        <v>0.97068194749243275</v>
      </c>
      <c r="E39" s="471">
        <f t="shared" si="13"/>
        <v>8.7961323116400453E-2</v>
      </c>
      <c r="F39" s="501">
        <f t="shared" ca="1" si="14"/>
        <v>5662.0314556761468</v>
      </c>
      <c r="G39" s="501">
        <f t="shared" si="11"/>
        <v>-3951.3451136692033</v>
      </c>
      <c r="H39" s="501">
        <f t="shared" ca="1" si="15"/>
        <v>987.00532335346611</v>
      </c>
      <c r="I39" s="504">
        <f t="shared" ca="1" si="16"/>
        <v>-4.0033675808799547</v>
      </c>
      <c r="J39" s="498" t="str">
        <f ca="1">IF($C$21=1,VLOOKUP(I39,$J$17:$M$30,3),(IF($C$21=0,VLOOKUP(I39,$E$17:$H$30,3),VLOOKUP(I39,#REF!,3))))</f>
        <v>D</v>
      </c>
      <c r="K39" s="502">
        <v>0.14000000000000001</v>
      </c>
      <c r="L39" s="503">
        <f t="shared" si="17"/>
        <v>0.17432000000000003</v>
      </c>
      <c r="M39" s="503">
        <f t="shared" ca="1" si="18"/>
        <v>-0.88194017346022668</v>
      </c>
      <c r="N39" s="503">
        <f t="shared" ca="1" si="19"/>
        <v>0.3280598110375868</v>
      </c>
      <c r="O39" s="515">
        <f t="shared" ca="1" si="20"/>
        <v>9.7565262633247898E-2</v>
      </c>
      <c r="P39" s="206"/>
    </row>
    <row r="40" spans="2:16" ht="12" customHeight="1">
      <c r="B40" s="505">
        <v>0.05</v>
      </c>
      <c r="C40" s="506">
        <f t="shared" si="21"/>
        <v>5.2631578947368425E-2</v>
      </c>
      <c r="D40" s="507">
        <f t="shared" si="12"/>
        <v>0.97871952318591671</v>
      </c>
      <c r="E40" s="508">
        <f t="shared" si="13"/>
        <v>8.8405491462129449E-2</v>
      </c>
      <c r="F40" s="509">
        <f t="shared" ca="1" si="14"/>
        <v>7077.5393195951838</v>
      </c>
      <c r="G40" s="509">
        <f t="shared" si="11"/>
        <v>-3951.3451136692033</v>
      </c>
      <c r="H40" s="509">
        <f t="shared" ca="1" si="15"/>
        <v>1233.7566541918327</v>
      </c>
      <c r="I40" s="510">
        <f t="shared" ca="1" si="16"/>
        <v>-3.2026940647039637</v>
      </c>
      <c r="J40" s="511" t="str">
        <f ca="1">IF($C$21=1,VLOOKUP(I40,$J$17:$M$30,3),(IF($C$21=0,VLOOKUP(I40,$E$17:$H$30,3),VLOOKUP(I40,#REF!,3))))</f>
        <v>D</v>
      </c>
      <c r="K40" s="512">
        <v>0.14000000000000001</v>
      </c>
      <c r="L40" s="513">
        <f t="shared" si="17"/>
        <v>0.17432000000000003</v>
      </c>
      <c r="M40" s="513">
        <f t="shared" ca="1" si="18"/>
        <v>-0.70555213876818135</v>
      </c>
      <c r="N40" s="513">
        <f t="shared" ca="1" si="19"/>
        <v>0.29731184883006945</v>
      </c>
      <c r="O40" s="516">
        <f t="shared" ca="1" si="20"/>
        <v>9.8850809330526437E-2</v>
      </c>
      <c r="P40" s="206" t="s">
        <v>257</v>
      </c>
    </row>
    <row r="41" spans="2:16" ht="12" customHeight="1">
      <c r="B41" s="119">
        <v>0.06</v>
      </c>
      <c r="C41" s="472">
        <f t="shared" si="21"/>
        <v>6.3829787234042548E-2</v>
      </c>
      <c r="D41" s="500">
        <f t="shared" si="12"/>
        <v>0.98692811112819812</v>
      </c>
      <c r="E41" s="471">
        <f t="shared" si="13"/>
        <v>8.8859110198193078E-2</v>
      </c>
      <c r="F41" s="501">
        <f t="shared" ca="1" si="14"/>
        <v>8493.0471835142198</v>
      </c>
      <c r="G41" s="501">
        <f t="shared" si="11"/>
        <v>-3951.3451136692033</v>
      </c>
      <c r="H41" s="501">
        <f t="shared" ca="1" si="15"/>
        <v>1480.5079850301991</v>
      </c>
      <c r="I41" s="504">
        <f t="shared" ca="1" si="16"/>
        <v>-2.6689117205866371</v>
      </c>
      <c r="J41" s="498" t="str">
        <f ca="1">IF($C$21=1,VLOOKUP(I41,$J$17:$M$30,3),(IF($C$21=0,VLOOKUP(I41,$E$17:$H$30,3),VLOOKUP(I41,#REF!,3))))</f>
        <v>D</v>
      </c>
      <c r="K41" s="502">
        <v>0.14000000000000001</v>
      </c>
      <c r="L41" s="503">
        <f t="shared" si="17"/>
        <v>0.17432000000000003</v>
      </c>
      <c r="M41" s="503">
        <f t="shared" ca="1" si="18"/>
        <v>-0.58796011564015127</v>
      </c>
      <c r="N41" s="503">
        <f t="shared" ca="1" si="19"/>
        <v>0.27681320735839121</v>
      </c>
      <c r="O41" s="515">
        <f t="shared" ca="1" si="20"/>
        <v>0.10013635602780496</v>
      </c>
    </row>
    <row r="42" spans="2:16" ht="12" customHeight="1">
      <c r="B42" s="119">
        <v>7.0000000000000007E-2</v>
      </c>
      <c r="C42" s="472">
        <f t="shared" si="21"/>
        <v>7.5268817204301092E-2</v>
      </c>
      <c r="D42" s="500">
        <f t="shared" si="12"/>
        <v>0.9953132278434319</v>
      </c>
      <c r="E42" s="471">
        <f t="shared" si="13"/>
        <v>8.9322484175892503E-2</v>
      </c>
      <c r="F42" s="501">
        <f t="shared" ca="1" si="14"/>
        <v>9908.5550474332576</v>
      </c>
      <c r="G42" s="501">
        <f t="shared" si="11"/>
        <v>-3951.3451136692033</v>
      </c>
      <c r="H42" s="501">
        <f t="shared" ca="1" si="15"/>
        <v>1727.2593158685659</v>
      </c>
      <c r="I42" s="504">
        <f t="shared" ca="1" si="16"/>
        <v>-2.2876386176456882</v>
      </c>
      <c r="J42" s="498" t="str">
        <f ca="1">IF($C$21=1,VLOOKUP(I42,$J$17:$M$30,3),(IF($C$21=0,VLOOKUP(I42,$E$17:$H$30,3),VLOOKUP(I42,#REF!,3))))</f>
        <v>D</v>
      </c>
      <c r="K42" s="502">
        <v>0.14000000000000001</v>
      </c>
      <c r="L42" s="503">
        <f t="shared" si="17"/>
        <v>0.17432000000000003</v>
      </c>
      <c r="M42" s="503">
        <f t="shared" ca="1" si="18"/>
        <v>-0.50396581340584379</v>
      </c>
      <c r="N42" s="503">
        <f t="shared" ca="1" si="19"/>
        <v>0.26217132059290671</v>
      </c>
      <c r="O42" s="515">
        <f t="shared" ca="1" si="20"/>
        <v>0.10142190272508349</v>
      </c>
    </row>
    <row r="43" spans="2:16" ht="12" customHeight="1">
      <c r="B43" s="119">
        <v>0.08</v>
      </c>
      <c r="C43" s="472">
        <f t="shared" si="21"/>
        <v>8.6956521739130432E-2</v>
      </c>
      <c r="D43" s="500">
        <f t="shared" si="12"/>
        <v>1.003880629704649</v>
      </c>
      <c r="E43" s="471">
        <f t="shared" si="13"/>
        <v>8.9795931500933207E-2</v>
      </c>
      <c r="F43" s="501">
        <f t="shared" ca="1" si="14"/>
        <v>11324.062911352294</v>
      </c>
      <c r="G43" s="501">
        <f t="shared" si="11"/>
        <v>-3951.3451136692033</v>
      </c>
      <c r="H43" s="501">
        <f t="shared" ca="1" si="15"/>
        <v>1974.0106467069322</v>
      </c>
      <c r="I43" s="504">
        <f t="shared" ca="1" si="16"/>
        <v>-2.0016837904399774</v>
      </c>
      <c r="J43" s="498" t="str">
        <f ca="1">IF($C$21=1,VLOOKUP(I43,$J$17:$M$30,3),(IF($C$21=0,VLOOKUP(I43,$E$17:$H$30,3),VLOOKUP(I43,#REF!,3))))</f>
        <v>D</v>
      </c>
      <c r="K43" s="502">
        <v>0.14000000000000001</v>
      </c>
      <c r="L43" s="503">
        <f t="shared" si="17"/>
        <v>0.17432000000000003</v>
      </c>
      <c r="M43" s="503">
        <f t="shared" ca="1" si="18"/>
        <v>-0.44097008673011334</v>
      </c>
      <c r="N43" s="503">
        <f t="shared" ca="1" si="19"/>
        <v>0.25118990551879339</v>
      </c>
      <c r="O43" s="515">
        <f t="shared" ca="1" si="20"/>
        <v>0.10270744942236203</v>
      </c>
    </row>
    <row r="44" spans="2:16" ht="12" customHeight="1">
      <c r="B44" s="119">
        <v>0.09</v>
      </c>
      <c r="C44" s="472">
        <f t="shared" si="21"/>
        <v>9.8901098901098897E-2</v>
      </c>
      <c r="D44" s="500">
        <f t="shared" si="12"/>
        <v>1.0126363261122666</v>
      </c>
      <c r="E44" s="471">
        <f t="shared" si="13"/>
        <v>9.0279784261689089E-2</v>
      </c>
      <c r="F44" s="501">
        <f t="shared" ca="1" si="14"/>
        <v>12739.57077527133</v>
      </c>
      <c r="G44" s="501">
        <f t="shared" si="11"/>
        <v>-3951.3451136692033</v>
      </c>
      <c r="H44" s="501">
        <f t="shared" ca="1" si="15"/>
        <v>2220.7619775452986</v>
      </c>
      <c r="I44" s="504">
        <f t="shared" ca="1" si="16"/>
        <v>-1.7792744803910912</v>
      </c>
      <c r="J44" s="498" t="str">
        <f ca="1">IF($C$21=1,VLOOKUP(I44,$J$17:$M$30,3),(IF($C$21=0,VLOOKUP(I44,$E$17:$H$30,3),VLOOKUP(I44,#REF!,3))))</f>
        <v>D</v>
      </c>
      <c r="K44" s="502">
        <v>0.14000000000000001</v>
      </c>
      <c r="L44" s="503">
        <f t="shared" si="17"/>
        <v>0.17432000000000003</v>
      </c>
      <c r="M44" s="503">
        <f t="shared" ca="1" si="18"/>
        <v>-0.39197341042676748</v>
      </c>
      <c r="N44" s="503">
        <f t="shared" ca="1" si="19"/>
        <v>0.24264880490559412</v>
      </c>
      <c r="O44" s="515">
        <f t="shared" ca="1" si="20"/>
        <v>0.10399299611964054</v>
      </c>
    </row>
    <row r="45" spans="2:16" ht="12" customHeight="1">
      <c r="B45" s="119">
        <v>0.1</v>
      </c>
      <c r="C45" s="472">
        <f t="shared" si="21"/>
        <v>0.11111111111111112</v>
      </c>
      <c r="D45" s="500">
        <f t="shared" si="12"/>
        <v>1.0215865935511643</v>
      </c>
      <c r="E45" s="471">
        <f t="shared" si="13"/>
        <v>9.0774389306017333E-2</v>
      </c>
      <c r="F45" s="501">
        <f t="shared" ca="1" si="14"/>
        <v>14155.078639190368</v>
      </c>
      <c r="G45" s="501">
        <f t="shared" si="11"/>
        <v>-3951.3451136692033</v>
      </c>
      <c r="H45" s="501">
        <f t="shared" ca="1" si="15"/>
        <v>2467.5133083836654</v>
      </c>
      <c r="I45" s="504">
        <f t="shared" ca="1" si="16"/>
        <v>-1.6013470323519818</v>
      </c>
      <c r="J45" s="498" t="str">
        <f ca="1">IF($C$21=1,VLOOKUP(I45,$J$17:$M$30,3),(IF($C$21=0,VLOOKUP(I45,$E$17:$H$30,3),VLOOKUP(I45,#REF!,3))))</f>
        <v>D</v>
      </c>
      <c r="K45" s="502">
        <v>0.14000000000000001</v>
      </c>
      <c r="L45" s="503">
        <f t="shared" si="17"/>
        <v>0.17432000000000003</v>
      </c>
      <c r="M45" s="503">
        <f t="shared" ca="1" si="18"/>
        <v>-0.35277606938409067</v>
      </c>
      <c r="N45" s="503">
        <f t="shared" ca="1" si="19"/>
        <v>0.23581592441503474</v>
      </c>
      <c r="O45" s="515">
        <f t="shared" ca="1" si="20"/>
        <v>0.10527854281691908</v>
      </c>
    </row>
    <row r="46" spans="2:16" ht="12" customHeight="1">
      <c r="B46" s="119"/>
      <c r="C46" s="472"/>
    </row>
    <row r="47" spans="2:16" ht="12" customHeight="1">
      <c r="B47" s="119"/>
      <c r="C47" s="472"/>
    </row>
    <row r="48" spans="2:16" ht="12" customHeight="1">
      <c r="B48" s="119">
        <v>0.25</v>
      </c>
      <c r="C48" s="472">
        <f t="shared" ref="C48:C57" si="22">B48/(100%-B48)</f>
        <v>0.33333333333333331</v>
      </c>
      <c r="D48" s="500">
        <f t="shared" ref="D48:D57" si="23">$C$16*(1+(1-$C$15)*C48)</f>
        <v>1.1844814609391054</v>
      </c>
      <c r="E48" s="471">
        <f t="shared" ref="E48:E57" si="24">$C$17+($C$18*D48)</f>
        <v>9.9776201112791327E-2</v>
      </c>
      <c r="F48" s="501">
        <f ca="1">B48*$C$19</f>
        <v>35387.696597975919</v>
      </c>
      <c r="G48" s="501">
        <f t="shared" ref="G48:G57" si="25">$C$20</f>
        <v>-3951.3451136692033</v>
      </c>
      <c r="H48" s="501">
        <f ca="1">F48*L48</f>
        <v>1922.2596792020522</v>
      </c>
      <c r="I48" s="504">
        <f ca="1">G48/H48</f>
        <v>-2.0555730094226621</v>
      </c>
      <c r="J48" s="498" t="str">
        <f ca="1">IF($C$21=1,VLOOKUP(I48,$J$17:$M$30,3),(IF($C$21=0,VLOOKUP(I48,$E$17:$H$30,3),VLOOKUP(I48,#REF!,3))))</f>
        <v>D</v>
      </c>
      <c r="K48" s="502">
        <v>0.02</v>
      </c>
      <c r="L48" s="503">
        <f>$C$17+K48</f>
        <v>5.4320000000000007E-2</v>
      </c>
      <c r="M48" s="503">
        <f ca="1">IF(H48&lt;G48,$C$15,$C$15*(G48/H48))</f>
        <v>-0.45284185872632321</v>
      </c>
      <c r="N48" s="503">
        <f ca="1">L48*(1-M48)</f>
        <v>7.8918369766013893E-2</v>
      </c>
      <c r="O48" s="515">
        <f ca="1">(E48*(100%-B48))+(N48*B48)</f>
        <v>9.4561743276096968E-2</v>
      </c>
    </row>
    <row r="49" spans="2:15" ht="12" customHeight="1">
      <c r="B49" s="119">
        <v>0.26</v>
      </c>
      <c r="C49" s="472">
        <f t="shared" si="22"/>
        <v>0.35135135135135137</v>
      </c>
      <c r="D49" s="500">
        <f t="shared" si="23"/>
        <v>1.1976891528894791</v>
      </c>
      <c r="E49" s="471">
        <f t="shared" si="24"/>
        <v>0.100506077745773</v>
      </c>
      <c r="F49" s="501">
        <f ca="1">B49*$C$19</f>
        <v>36803.204461894959</v>
      </c>
      <c r="G49" s="501">
        <f t="shared" si="25"/>
        <v>-3951.3451136692033</v>
      </c>
      <c r="H49" s="501">
        <f ca="1">F49*L49</f>
        <v>1999.1500663701345</v>
      </c>
      <c r="I49" s="504">
        <f ca="1">G49/H49</f>
        <v>-1.9765125090602518</v>
      </c>
      <c r="J49" s="498" t="str">
        <f ca="1">IF($C$21=1,VLOOKUP(I49,$J$17:$M$30,3),(IF($C$21=0,VLOOKUP(I49,$E$17:$H$30,3),VLOOKUP(I49,#REF!,3))))</f>
        <v>D</v>
      </c>
      <c r="K49" s="502">
        <v>0.02</v>
      </c>
      <c r="L49" s="503">
        <f>$C$17+K49</f>
        <v>5.4320000000000007E-2</v>
      </c>
      <c r="M49" s="503">
        <f ca="1">IF(H49&lt;G49,$C$15,$C$15*(G49/H49))</f>
        <v>-0.43542486415992609</v>
      </c>
      <c r="N49" s="503">
        <f ca="1">L49*(1-M49)</f>
        <v>7.7972278621167193E-2</v>
      </c>
      <c r="O49" s="515">
        <f ca="1">(E49*(100%-B49))+(N49*B49)</f>
        <v>9.4647289973375487E-2</v>
      </c>
    </row>
    <row r="50" spans="2:15" ht="12" customHeight="1">
      <c r="B50" s="119">
        <v>0.27</v>
      </c>
      <c r="C50" s="472">
        <f t="shared" si="22"/>
        <v>0.36986301369863017</v>
      </c>
      <c r="D50" s="500">
        <f t="shared" si="23"/>
        <v>1.2112586994138355</v>
      </c>
      <c r="E50" s="471">
        <f t="shared" si="24"/>
        <v>0.10125595099883636</v>
      </c>
      <c r="F50" s="501">
        <f t="shared" ref="F50:F57" ca="1" si="26">B50*$C$19</f>
        <v>38218.712325813998</v>
      </c>
      <c r="G50" s="501">
        <f t="shared" si="25"/>
        <v>-3951.3451136692033</v>
      </c>
      <c r="H50" s="501">
        <f t="shared" ref="H50:H57" ca="1" si="27">F50*L50</f>
        <v>2171.5872343527517</v>
      </c>
      <c r="I50" s="504">
        <f t="shared" ref="I50:I57" ca="1" si="28">G50/H50</f>
        <v>-1.8195654547798601</v>
      </c>
      <c r="J50" s="498" t="str">
        <f ca="1">IF($C$21=1,VLOOKUP(I50,$J$17:$M$30,3),(IF($C$21=0,VLOOKUP(I50,$E$17:$H$30,3),VLOOKUP(I50,#REF!,3))))</f>
        <v>D</v>
      </c>
      <c r="K50" s="502">
        <v>2.2499999999999999E-2</v>
      </c>
      <c r="L50" s="503">
        <f t="shared" ref="L50:L57" si="29">$C$17+K50</f>
        <v>5.6820000000000002E-2</v>
      </c>
      <c r="M50" s="503">
        <f t="shared" ref="M50:M57" ca="1" si="30">IF(H50&lt;G50,$C$15,$C$15*(G50/H50))</f>
        <v>-0.40084949492898092</v>
      </c>
      <c r="N50" s="503">
        <f t="shared" ref="N50:N57" ca="1" si="31">L50*(1-M50)</f>
        <v>7.9596268301864698E-2</v>
      </c>
      <c r="O50" s="515">
        <f t="shared" ref="O50:O57" ca="1" si="32">(E50*(100%-B50))+(N50*B50)</f>
        <v>9.5407836670654014E-2</v>
      </c>
    </row>
    <row r="51" spans="2:15" ht="12" customHeight="1">
      <c r="B51" s="119">
        <v>0.28000000000000003</v>
      </c>
      <c r="C51" s="472">
        <f t="shared" si="22"/>
        <v>0.38888888888888895</v>
      </c>
      <c r="D51" s="500">
        <f t="shared" si="23"/>
        <v>1.2252051777860908</v>
      </c>
      <c r="E51" s="471">
        <f t="shared" si="24"/>
        <v>0.10202665406448483</v>
      </c>
      <c r="F51" s="501">
        <f t="shared" ca="1" si="26"/>
        <v>39634.220189733031</v>
      </c>
      <c r="G51" s="501">
        <f t="shared" si="25"/>
        <v>-3951.3451136692033</v>
      </c>
      <c r="H51" s="501">
        <f t="shared" ca="1" si="27"/>
        <v>2252.0163911806308</v>
      </c>
      <c r="I51" s="504">
        <f t="shared" ca="1" si="28"/>
        <v>-1.7545809742520084</v>
      </c>
      <c r="J51" s="498" t="str">
        <f ca="1">IF($C$21=1,VLOOKUP(I51,$J$17:$M$30,3),(IF($C$21=0,VLOOKUP(I51,$E$17:$H$30,3),VLOOKUP(I51,#REF!,3))))</f>
        <v>D</v>
      </c>
      <c r="K51" s="502">
        <v>2.2499999999999999E-2</v>
      </c>
      <c r="L51" s="503">
        <f t="shared" si="29"/>
        <v>5.6820000000000002E-2</v>
      </c>
      <c r="M51" s="503">
        <f t="shared" ca="1" si="30"/>
        <v>-0.38653344153866032</v>
      </c>
      <c r="N51" s="503">
        <f t="shared" ca="1" si="31"/>
        <v>7.8782830148226679E-2</v>
      </c>
      <c r="O51" s="515">
        <f t="shared" ca="1" si="32"/>
        <v>9.5518383367932558E-2</v>
      </c>
    </row>
    <row r="52" spans="2:15" ht="12" customHeight="1">
      <c r="B52" s="119">
        <v>0.28999999999999998</v>
      </c>
      <c r="C52" s="472">
        <f t="shared" si="22"/>
        <v>0.40845070422535212</v>
      </c>
      <c r="D52" s="500">
        <f t="shared" si="23"/>
        <v>1.2395445147040431</v>
      </c>
      <c r="E52" s="471">
        <f t="shared" si="24"/>
        <v>0.10281906707564449</v>
      </c>
      <c r="F52" s="501">
        <f t="shared" ca="1" si="26"/>
        <v>41049.728053652063</v>
      </c>
      <c r="G52" s="501">
        <f t="shared" si="25"/>
        <v>-3951.3451136692033</v>
      </c>
      <c r="H52" s="501">
        <f t="shared" ca="1" si="27"/>
        <v>2332.4455480085103</v>
      </c>
      <c r="I52" s="504">
        <f t="shared" ca="1" si="28"/>
        <v>-1.6940781820364221</v>
      </c>
      <c r="J52" s="498" t="str">
        <f ca="1">IF($C$21=1,VLOOKUP(I52,$J$17:$M$30,3),(IF($C$21=0,VLOOKUP(I52,$E$17:$H$30,3),VLOOKUP(I52,#REF!,3))))</f>
        <v>D</v>
      </c>
      <c r="K52" s="502">
        <v>2.2499999999999999E-2</v>
      </c>
      <c r="L52" s="503">
        <f t="shared" si="29"/>
        <v>5.6820000000000002E-2</v>
      </c>
      <c r="M52" s="503">
        <f t="shared" ca="1" si="30"/>
        <v>-0.37320470217525825</v>
      </c>
      <c r="N52" s="503">
        <f t="shared" ca="1" si="31"/>
        <v>7.8025491177598175E-2</v>
      </c>
      <c r="O52" s="515">
        <f t="shared" ca="1" si="32"/>
        <v>9.562893006521106E-2</v>
      </c>
    </row>
    <row r="53" spans="2:15" ht="12" customHeight="1">
      <c r="B53" s="119">
        <v>0.3</v>
      </c>
      <c r="C53" s="472">
        <f t="shared" si="22"/>
        <v>0.4285714285714286</v>
      </c>
      <c r="D53" s="500">
        <f t="shared" si="23"/>
        <v>1.2542935469625089</v>
      </c>
      <c r="E53" s="471">
        <f t="shared" si="24"/>
        <v>0.10363412045855161</v>
      </c>
      <c r="F53" s="501">
        <f t="shared" ca="1" si="26"/>
        <v>42465.235917571103</v>
      </c>
      <c r="G53" s="501">
        <f t="shared" si="25"/>
        <v>-3951.3451136692033</v>
      </c>
      <c r="H53" s="501">
        <f t="shared" ca="1" si="27"/>
        <v>2412.8747048363903</v>
      </c>
      <c r="I53" s="504">
        <f t="shared" ca="1" si="28"/>
        <v>-1.6376089093018744</v>
      </c>
      <c r="J53" s="498" t="str">
        <f ca="1">IF($C$21=1,VLOOKUP(I53,$J$17:$M$30,3),(IF($C$21=0,VLOOKUP(I53,$E$17:$H$30,3),VLOOKUP(I53,#REF!,3))))</f>
        <v>D</v>
      </c>
      <c r="K53" s="502">
        <v>2.2499999999999999E-2</v>
      </c>
      <c r="L53" s="503">
        <f t="shared" si="29"/>
        <v>5.6820000000000002E-2</v>
      </c>
      <c r="M53" s="503">
        <f t="shared" ca="1" si="30"/>
        <v>-0.36076454543608294</v>
      </c>
      <c r="N53" s="503">
        <f t="shared" ca="1" si="31"/>
        <v>7.7318641471678246E-2</v>
      </c>
      <c r="O53" s="515">
        <f t="shared" ca="1" si="32"/>
        <v>9.5739476762489589E-2</v>
      </c>
    </row>
    <row r="54" spans="2:15" ht="12" customHeight="1">
      <c r="B54" s="119">
        <v>0.31</v>
      </c>
      <c r="C54" s="472">
        <f t="shared" si="22"/>
        <v>0.44927536231884063</v>
      </c>
      <c r="D54" s="500">
        <f t="shared" si="23"/>
        <v>1.2694700874023792</v>
      </c>
      <c r="E54" s="471">
        <f t="shared" si="24"/>
        <v>0.10447279857719516</v>
      </c>
      <c r="F54" s="501">
        <f t="shared" ca="1" si="26"/>
        <v>43880.743781490142</v>
      </c>
      <c r="G54" s="501">
        <f t="shared" si="25"/>
        <v>-3951.3451136692033</v>
      </c>
      <c r="H54" s="501">
        <f t="shared" ca="1" si="27"/>
        <v>2493.3038616642698</v>
      </c>
      <c r="I54" s="504">
        <f t="shared" ca="1" si="28"/>
        <v>-1.5847828154534269</v>
      </c>
      <c r="J54" s="498" t="str">
        <f ca="1">IF($C$21=1,VLOOKUP(I54,$J$17:$M$30,3),(IF($C$21=0,VLOOKUP(I54,$E$17:$H$30,3),VLOOKUP(I54,#REF!,3))))</f>
        <v>D</v>
      </c>
      <c r="K54" s="502">
        <v>2.2499999999999999E-2</v>
      </c>
      <c r="L54" s="503">
        <f t="shared" si="29"/>
        <v>5.6820000000000002E-2</v>
      </c>
      <c r="M54" s="503">
        <f t="shared" ca="1" si="30"/>
        <v>-0.34912697945427379</v>
      </c>
      <c r="N54" s="503">
        <f t="shared" ca="1" si="31"/>
        <v>7.665739497259183E-2</v>
      </c>
      <c r="O54" s="515">
        <f t="shared" ca="1" si="32"/>
        <v>9.5850023459768119E-2</v>
      </c>
    </row>
    <row r="55" spans="2:15" ht="12" customHeight="1">
      <c r="B55" s="119">
        <v>0.32</v>
      </c>
      <c r="C55" s="472">
        <f t="shared" si="22"/>
        <v>0.4705882352941177</v>
      </c>
      <c r="D55" s="500">
        <f t="shared" si="23"/>
        <v>1.2850929966787161</v>
      </c>
      <c r="E55" s="471">
        <f t="shared" si="24"/>
        <v>0.1053361436993282</v>
      </c>
      <c r="F55" s="501">
        <f t="shared" ca="1" si="26"/>
        <v>45296.251645409175</v>
      </c>
      <c r="G55" s="501">
        <f t="shared" si="25"/>
        <v>-3951.3451136692033</v>
      </c>
      <c r="H55" s="501">
        <f t="shared" ca="1" si="27"/>
        <v>2573.7330184921493</v>
      </c>
      <c r="I55" s="504">
        <f t="shared" ca="1" si="28"/>
        <v>-1.5352583524705075</v>
      </c>
      <c r="J55" s="498" t="str">
        <f ca="1">IF($C$21=1,VLOOKUP(I55,$J$17:$M$30,3),(IF($C$21=0,VLOOKUP(I55,$E$17:$H$30,3),VLOOKUP(I55,#REF!,3))))</f>
        <v>D</v>
      </c>
      <c r="K55" s="502">
        <v>2.2499999999999999E-2</v>
      </c>
      <c r="L55" s="503">
        <f t="shared" si="29"/>
        <v>5.6820000000000002E-2</v>
      </c>
      <c r="M55" s="503">
        <f t="shared" ca="1" si="30"/>
        <v>-0.33821676134632778</v>
      </c>
      <c r="N55" s="503">
        <f t="shared" ca="1" si="31"/>
        <v>7.6037476379698349E-2</v>
      </c>
      <c r="O55" s="515">
        <f t="shared" ca="1" si="32"/>
        <v>9.5960570157046635E-2</v>
      </c>
    </row>
    <row r="56" spans="2:15" ht="12" customHeight="1">
      <c r="B56" s="119">
        <v>0.33</v>
      </c>
      <c r="C56" s="472">
        <f t="shared" si="22"/>
        <v>0.49253731343283591</v>
      </c>
      <c r="D56" s="500">
        <f t="shared" si="23"/>
        <v>1.3011822614558393</v>
      </c>
      <c r="E56" s="471">
        <f t="shared" si="24"/>
        <v>0.10622526031764433</v>
      </c>
      <c r="F56" s="501">
        <f t="shared" ca="1" si="26"/>
        <v>46711.759509328214</v>
      </c>
      <c r="G56" s="501">
        <f t="shared" si="25"/>
        <v>-3951.3451136692033</v>
      </c>
      <c r="H56" s="501">
        <f t="shared" ca="1" si="27"/>
        <v>5340.0883471064017</v>
      </c>
      <c r="I56" s="504">
        <f t="shared" ca="1" si="28"/>
        <v>-0.73994002661216129</v>
      </c>
      <c r="J56" s="498" t="str">
        <f ca="1">IF($C$21=1,VLOOKUP(I56,$J$17:$M$30,3),(IF($C$21=0,VLOOKUP(I56,$E$17:$H$30,3),VLOOKUP(I56,#REF!,3))))</f>
        <v>D</v>
      </c>
      <c r="K56" s="502">
        <v>0.08</v>
      </c>
      <c r="L56" s="503">
        <f t="shared" si="29"/>
        <v>0.11432</v>
      </c>
      <c r="M56" s="503">
        <f t="shared" ca="1" si="30"/>
        <v>-0.16300847280105471</v>
      </c>
      <c r="N56" s="503">
        <f t="shared" ca="1" si="31"/>
        <v>0.13295512861061659</v>
      </c>
      <c r="O56" s="515">
        <f t="shared" ca="1" si="32"/>
        <v>0.11504611685432517</v>
      </c>
    </row>
    <row r="57" spans="2:15" ht="12" customHeight="1">
      <c r="B57" s="119">
        <v>0.34</v>
      </c>
      <c r="C57" s="472">
        <f t="shared" si="22"/>
        <v>0.51515151515151525</v>
      </c>
      <c r="D57" s="500">
        <f t="shared" si="23"/>
        <v>1.3177590797110572</v>
      </c>
      <c r="E57" s="471">
        <f t="shared" si="24"/>
        <v>0.10714131986378822</v>
      </c>
      <c r="F57" s="501">
        <f t="shared" ca="1" si="26"/>
        <v>48127.267373247254</v>
      </c>
      <c r="G57" s="501">
        <f t="shared" si="25"/>
        <v>-3951.3451136692033</v>
      </c>
      <c r="H57" s="501">
        <f t="shared" ca="1" si="27"/>
        <v>5501.9092061096262</v>
      </c>
      <c r="I57" s="504">
        <f t="shared" ca="1" si="28"/>
        <v>-0.71817708465298002</v>
      </c>
      <c r="J57" s="498" t="str">
        <f ca="1">IF($C$21=1,VLOOKUP(I57,$J$17:$M$30,3),(IF($C$21=0,VLOOKUP(I57,$E$17:$H$30,3),VLOOKUP(I57,#REF!,3))))</f>
        <v>D</v>
      </c>
      <c r="K57" s="502">
        <v>0.08</v>
      </c>
      <c r="L57" s="503">
        <f t="shared" si="29"/>
        <v>0.11432</v>
      </c>
      <c r="M57" s="503">
        <f t="shared" ca="1" si="30"/>
        <v>-0.15821410595396485</v>
      </c>
      <c r="N57" s="503">
        <f t="shared" ca="1" si="31"/>
        <v>0.13240703659265726</v>
      </c>
      <c r="O57" s="515">
        <f t="shared" ca="1" si="32"/>
        <v>0.11573166355160369</v>
      </c>
    </row>
    <row r="58" spans="2:15" ht="12" customHeight="1">
      <c r="B58" s="119"/>
      <c r="C58" s="472"/>
      <c r="D58" s="500"/>
      <c r="E58" s="471"/>
      <c r="F58" s="501"/>
      <c r="G58" s="501"/>
      <c r="H58" s="501"/>
      <c r="I58" s="504"/>
      <c r="J58" s="498"/>
      <c r="K58" s="502"/>
      <c r="L58" s="503"/>
      <c r="M58" s="503"/>
      <c r="N58" s="503"/>
      <c r="O58" s="515"/>
    </row>
  </sheetData>
  <mergeCells count="2">
    <mergeCell ref="E15:H15"/>
    <mergeCell ref="J15:M15"/>
  </mergeCells>
  <pageMargins left="0.7" right="0.7" top="0.75" bottom="0.75" header="0.3" footer="0.3"/>
  <pageSetup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2"/>
  <sheetViews>
    <sheetView workbookViewId="0"/>
  </sheetViews>
  <sheetFormatPr defaultRowHeight="12" customHeight="1"/>
  <cols>
    <col min="1" max="1" width="2" style="2" customWidth="1"/>
    <col min="2" max="2" width="18.5703125" style="2" customWidth="1"/>
    <col min="3" max="3" width="13.5703125" style="2" customWidth="1"/>
    <col min="4" max="4" width="11.28515625" style="2" customWidth="1"/>
    <col min="5" max="5" width="14.28515625" style="2" customWidth="1"/>
    <col min="6" max="6" width="17" style="2" customWidth="1"/>
    <col min="7" max="7" width="9.5703125" style="2" customWidth="1"/>
    <col min="8" max="8" width="14.42578125" style="2" customWidth="1"/>
    <col min="9" max="9" width="16" style="2" customWidth="1"/>
    <col min="10" max="10" width="23.85546875" style="2" customWidth="1"/>
    <col min="11" max="11" width="15.140625"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3" ht="16.5" customHeight="1">
      <c r="B1" s="15" t="s">
        <v>280</v>
      </c>
    </row>
    <row r="3" spans="1:13" ht="12" customHeight="1">
      <c r="B3" s="267" t="s">
        <v>230</v>
      </c>
      <c r="C3" s="484" t="s">
        <v>317</v>
      </c>
      <c r="D3" s="484" t="s">
        <v>256</v>
      </c>
      <c r="E3" s="484" t="s">
        <v>290</v>
      </c>
      <c r="F3" s="484" t="s">
        <v>281</v>
      </c>
      <c r="G3" s="495" t="s">
        <v>253</v>
      </c>
      <c r="H3" s="484" t="s">
        <v>284</v>
      </c>
      <c r="I3" s="484" t="s">
        <v>282</v>
      </c>
      <c r="J3" s="484" t="s">
        <v>293</v>
      </c>
      <c r="K3" s="22"/>
      <c r="L3" s="22"/>
    </row>
    <row r="4" spans="1:13" ht="12" customHeight="1">
      <c r="B4" s="499">
        <v>0</v>
      </c>
      <c r="C4" s="501">
        <f t="shared" ref="C4:C13" ca="1" si="0">B4*$C$19</f>
        <v>0</v>
      </c>
      <c r="D4" s="514">
        <f>'Optimal Cost of Capital'!M4</f>
        <v>0.22029957420656662</v>
      </c>
      <c r="E4" s="501">
        <f ca="1">$C$22</f>
        <v>195020.44772908866</v>
      </c>
      <c r="F4" s="359">
        <f ca="1">C4*D4</f>
        <v>0</v>
      </c>
      <c r="G4" s="497" t="str">
        <f>'Optimal Cost of Capital'!J4</f>
        <v>AAA</v>
      </c>
      <c r="H4" s="517">
        <f t="shared" ref="H4:H13" si="1">VLOOKUP(G4,$H$16:$I$29,2,)</f>
        <v>6.9999999999999999E-4</v>
      </c>
      <c r="I4" s="359">
        <f t="shared" ref="I4:I13" ca="1" si="2">H4*VLOOKUP($C$16,$E$16:$F$18,2,)*E4</f>
        <v>54.605725364144831</v>
      </c>
      <c r="J4" s="359">
        <f ca="1">E4+F4-I4</f>
        <v>194965.84200372451</v>
      </c>
      <c r="M4" s="206"/>
    </row>
    <row r="5" spans="1:13" ht="12" customHeight="1">
      <c r="B5" s="119">
        <v>0.1</v>
      </c>
      <c r="C5" s="501">
        <f t="shared" ca="1" si="0"/>
        <v>14155.078639190368</v>
      </c>
      <c r="D5" s="514">
        <f ca="1">'Optimal Cost of Capital'!M5</f>
        <v>-0.35277606938409067</v>
      </c>
      <c r="E5" s="501">
        <f t="shared" ref="E5:E13" ca="1" si="3">$C$22</f>
        <v>195020.44772908866</v>
      </c>
      <c r="F5" s="359">
        <f t="shared" ref="F5:F13" ca="1" si="4">C5*D5</f>
        <v>-4993.5730041562811</v>
      </c>
      <c r="G5" s="497" t="str">
        <f ca="1">'Optimal Cost of Capital'!J5</f>
        <v>D</v>
      </c>
      <c r="H5" s="517">
        <f t="shared" ca="1" si="1"/>
        <v>1</v>
      </c>
      <c r="I5" s="359">
        <f t="shared" ca="1" si="2"/>
        <v>78008.179091635466</v>
      </c>
      <c r="J5" s="359">
        <f ca="1">E5+F5-I5</f>
        <v>112018.6956332969</v>
      </c>
    </row>
    <row r="6" spans="1:13" ht="12" customHeight="1">
      <c r="B6" s="119">
        <v>0.2</v>
      </c>
      <c r="C6" s="501">
        <f t="shared" ca="1" si="0"/>
        <v>28310.157278380735</v>
      </c>
      <c r="D6" s="514">
        <f ca="1">'Optimal Cost of Capital'!M6</f>
        <v>-0.17638803469204534</v>
      </c>
      <c r="E6" s="501">
        <f t="shared" ca="1" si="3"/>
        <v>195020.44772908866</v>
      </c>
      <c r="F6" s="359">
        <f t="shared" ca="1" si="4"/>
        <v>-4993.5730041562811</v>
      </c>
      <c r="G6" s="497" t="str">
        <f ca="1">'Optimal Cost of Capital'!J6</f>
        <v>D</v>
      </c>
      <c r="H6" s="517">
        <f t="shared" ca="1" si="1"/>
        <v>1</v>
      </c>
      <c r="I6" s="359">
        <f t="shared" ca="1" si="2"/>
        <v>78008.179091635466</v>
      </c>
      <c r="J6" s="359">
        <f t="shared" ref="J6:J13" ca="1" si="5">E6+F6-I6</f>
        <v>112018.6956332969</v>
      </c>
    </row>
    <row r="7" spans="1:13" ht="12" customHeight="1">
      <c r="B7" s="119">
        <v>0.3</v>
      </c>
      <c r="C7" s="501">
        <f t="shared" ca="1" si="0"/>
        <v>42465.235917571103</v>
      </c>
      <c r="D7" s="514">
        <f ca="1">'Optimal Cost of Capital'!M7</f>
        <v>-0.11759202312803022</v>
      </c>
      <c r="E7" s="501">
        <f t="shared" ca="1" si="3"/>
        <v>195020.44772908866</v>
      </c>
      <c r="F7" s="359">
        <f t="shared" ca="1" si="4"/>
        <v>-4993.5730041562801</v>
      </c>
      <c r="G7" s="497" t="str">
        <f ca="1">'Optimal Cost of Capital'!J7</f>
        <v>D</v>
      </c>
      <c r="H7" s="517">
        <f t="shared" ca="1" si="1"/>
        <v>1</v>
      </c>
      <c r="I7" s="359">
        <f t="shared" ca="1" si="2"/>
        <v>78008.179091635466</v>
      </c>
      <c r="J7" s="359">
        <f ca="1">E7+F7-I7</f>
        <v>112018.6956332969</v>
      </c>
      <c r="K7" s="206" t="s">
        <v>257</v>
      </c>
    </row>
    <row r="8" spans="1:13" ht="12" customHeight="1">
      <c r="B8" s="119">
        <v>0.4</v>
      </c>
      <c r="C8" s="501">
        <f t="shared" ca="1" si="0"/>
        <v>56620.31455676147</v>
      </c>
      <c r="D8" s="514">
        <f ca="1">'Optimal Cost of Capital'!M8</f>
        <v>-8.8194017346022668E-2</v>
      </c>
      <c r="E8" s="501">
        <f t="shared" ca="1" si="3"/>
        <v>195020.44772908866</v>
      </c>
      <c r="F8" s="359">
        <f ca="1">C8*D8</f>
        <v>-4993.5730041562811</v>
      </c>
      <c r="G8" s="497" t="str">
        <f ca="1">'Optimal Cost of Capital'!J8</f>
        <v>D</v>
      </c>
      <c r="H8" s="517">
        <f t="shared" ca="1" si="1"/>
        <v>1</v>
      </c>
      <c r="I8" s="359">
        <f t="shared" ca="1" si="2"/>
        <v>78008.179091635466</v>
      </c>
      <c r="J8" s="359">
        <f t="shared" ca="1" si="5"/>
        <v>112018.6956332969</v>
      </c>
    </row>
    <row r="9" spans="1:13" ht="12" customHeight="1">
      <c r="B9" s="119">
        <v>0.5</v>
      </c>
      <c r="C9" s="501">
        <f t="shared" ca="1" si="0"/>
        <v>70775.393195951838</v>
      </c>
      <c r="D9" s="514">
        <f ca="1">'Optimal Cost of Capital'!M9</f>
        <v>-7.0555213876818151E-2</v>
      </c>
      <c r="E9" s="501">
        <f t="shared" ca="1" si="3"/>
        <v>195020.44772908866</v>
      </c>
      <c r="F9" s="359">
        <f ca="1">C9*D9</f>
        <v>-4993.573004156282</v>
      </c>
      <c r="G9" s="497" t="str">
        <f ca="1">'Optimal Cost of Capital'!J9</f>
        <v>D</v>
      </c>
      <c r="H9" s="517">
        <f t="shared" ca="1" si="1"/>
        <v>1</v>
      </c>
      <c r="I9" s="359">
        <f t="shared" ca="1" si="2"/>
        <v>78008.179091635466</v>
      </c>
      <c r="J9" s="359">
        <f t="shared" ca="1" si="5"/>
        <v>112018.6956332969</v>
      </c>
    </row>
    <row r="10" spans="1:13" ht="12" customHeight="1">
      <c r="A10" s="3"/>
      <c r="B10" s="119">
        <v>0.6</v>
      </c>
      <c r="C10" s="501">
        <f t="shared" ca="1" si="0"/>
        <v>84930.471835142205</v>
      </c>
      <c r="D10" s="514">
        <f ca="1">'Optimal Cost of Capital'!M10</f>
        <v>-5.8796011564015108E-2</v>
      </c>
      <c r="E10" s="501">
        <f t="shared" ca="1" si="3"/>
        <v>195020.44772908866</v>
      </c>
      <c r="F10" s="359">
        <f t="shared" ca="1" si="4"/>
        <v>-4993.5730041562801</v>
      </c>
      <c r="G10" s="497" t="str">
        <f ca="1">'Optimal Cost of Capital'!J10</f>
        <v>D</v>
      </c>
      <c r="H10" s="517">
        <f t="shared" ca="1" si="1"/>
        <v>1</v>
      </c>
      <c r="I10" s="359">
        <f t="shared" ca="1" si="2"/>
        <v>78008.179091635466</v>
      </c>
      <c r="J10" s="359">
        <f t="shared" ca="1" si="5"/>
        <v>112018.6956332969</v>
      </c>
    </row>
    <row r="11" spans="1:13" ht="12" customHeight="1">
      <c r="A11" s="3"/>
      <c r="B11" s="119">
        <v>0.7</v>
      </c>
      <c r="C11" s="501">
        <f t="shared" ca="1" si="0"/>
        <v>99085.550474332573</v>
      </c>
      <c r="D11" s="514">
        <f ca="1">'Optimal Cost of Capital'!M11</f>
        <v>-5.039658134058439E-2</v>
      </c>
      <c r="E11" s="501">
        <f t="shared" ca="1" si="3"/>
        <v>195020.44772908866</v>
      </c>
      <c r="F11" s="359">
        <f t="shared" ca="1" si="4"/>
        <v>-4993.573004156282</v>
      </c>
      <c r="G11" s="497" t="str">
        <f ca="1">'Optimal Cost of Capital'!J11</f>
        <v>D</v>
      </c>
      <c r="H11" s="517">
        <f t="shared" ca="1" si="1"/>
        <v>1</v>
      </c>
      <c r="I11" s="359">
        <f t="shared" ca="1" si="2"/>
        <v>78008.179091635466</v>
      </c>
      <c r="J11" s="359">
        <f t="shared" ca="1" si="5"/>
        <v>112018.6956332969</v>
      </c>
    </row>
    <row r="12" spans="1:13" ht="12" customHeight="1">
      <c r="A12" s="3"/>
      <c r="B12" s="119">
        <v>0.8</v>
      </c>
      <c r="C12" s="501">
        <f t="shared" ca="1" si="0"/>
        <v>113240.62911352294</v>
      </c>
      <c r="D12" s="514">
        <f ca="1">'Optimal Cost of Capital'!M12</f>
        <v>-4.4097008673011334E-2</v>
      </c>
      <c r="E12" s="501">
        <f t="shared" ca="1" si="3"/>
        <v>195020.44772908866</v>
      </c>
      <c r="F12" s="359">
        <f t="shared" ca="1" si="4"/>
        <v>-4993.5730041562811</v>
      </c>
      <c r="G12" s="497" t="str">
        <f ca="1">'Optimal Cost of Capital'!J12</f>
        <v>D</v>
      </c>
      <c r="H12" s="517">
        <f t="shared" ca="1" si="1"/>
        <v>1</v>
      </c>
      <c r="I12" s="359">
        <f t="shared" ca="1" si="2"/>
        <v>78008.179091635466</v>
      </c>
      <c r="J12" s="359">
        <f t="shared" ca="1" si="5"/>
        <v>112018.6956332969</v>
      </c>
      <c r="K12" s="24"/>
      <c r="L12" s="24"/>
    </row>
    <row r="13" spans="1:13" ht="12" customHeight="1">
      <c r="A13" s="3"/>
      <c r="B13" s="119">
        <v>0.9</v>
      </c>
      <c r="C13" s="501">
        <f t="shared" ca="1" si="0"/>
        <v>127395.70775271331</v>
      </c>
      <c r="D13" s="514">
        <f ca="1">'Optimal Cost of Capital'!M13</f>
        <v>-3.9197341042676741E-2</v>
      </c>
      <c r="E13" s="501">
        <f t="shared" ca="1" si="3"/>
        <v>195020.44772908866</v>
      </c>
      <c r="F13" s="359">
        <f t="shared" ca="1" si="4"/>
        <v>-4993.5730041562811</v>
      </c>
      <c r="G13" s="497" t="str">
        <f ca="1">'Optimal Cost of Capital'!J13</f>
        <v>D</v>
      </c>
      <c r="H13" s="517">
        <f t="shared" ca="1" si="1"/>
        <v>1</v>
      </c>
      <c r="I13" s="359">
        <f t="shared" ca="1" si="2"/>
        <v>78008.179091635466</v>
      </c>
      <c r="J13" s="359">
        <f t="shared" ca="1" si="5"/>
        <v>112018.6956332969</v>
      </c>
    </row>
    <row r="14" spans="1:13" s="22" customFormat="1" ht="12" customHeight="1">
      <c r="A14" s="21"/>
      <c r="K14" s="2"/>
      <c r="L14" s="2"/>
    </row>
    <row r="15" spans="1:13" ht="12" customHeight="1">
      <c r="B15" s="562" t="s">
        <v>294</v>
      </c>
      <c r="C15" s="496" t="str">
        <f>'Cost of Equity, Debt &amp; WACC'!C14</f>
        <v>D</v>
      </c>
      <c r="D15" s="3"/>
      <c r="E15" s="209"/>
      <c r="F15" s="210" t="s">
        <v>288</v>
      </c>
      <c r="H15" s="209" t="s">
        <v>235</v>
      </c>
      <c r="I15" s="210" t="s">
        <v>284</v>
      </c>
    </row>
    <row r="16" spans="1:13" ht="12" customHeight="1">
      <c r="B16" s="562" t="s">
        <v>292</v>
      </c>
      <c r="C16" s="496" t="s">
        <v>285</v>
      </c>
      <c r="D16" s="3"/>
      <c r="E16" s="209" t="s">
        <v>285</v>
      </c>
      <c r="F16" s="211">
        <v>0.4</v>
      </c>
      <c r="H16" s="209" t="s">
        <v>233</v>
      </c>
      <c r="I16" s="211">
        <v>1</v>
      </c>
    </row>
    <row r="17" spans="1:12" ht="12" customHeight="1">
      <c r="B17" s="205" t="s">
        <v>291</v>
      </c>
      <c r="C17" s="169"/>
      <c r="D17" s="3"/>
      <c r="E17" s="209" t="s">
        <v>286</v>
      </c>
      <c r="F17" s="211">
        <v>0.25</v>
      </c>
      <c r="H17" s="209" t="s">
        <v>29</v>
      </c>
      <c r="I17" s="211">
        <v>0.85</v>
      </c>
    </row>
    <row r="18" spans="1:12" ht="12" customHeight="1">
      <c r="D18" s="25"/>
      <c r="E18" s="209" t="s">
        <v>287</v>
      </c>
      <c r="F18" s="211">
        <v>0.1</v>
      </c>
      <c r="G18" s="90"/>
      <c r="H18" s="209" t="s">
        <v>242</v>
      </c>
      <c r="I18" s="211">
        <v>0.7</v>
      </c>
    </row>
    <row r="19" spans="1:12" ht="12" customHeight="1">
      <c r="A19" s="3"/>
      <c r="B19" s="562" t="s">
        <v>254</v>
      </c>
      <c r="C19" s="377">
        <f ca="1">'Bottom Up Beta'!C13+'Bottom Up Beta'!C14</f>
        <v>141550.78639190368</v>
      </c>
      <c r="D19" s="25"/>
      <c r="E19" s="202"/>
      <c r="F19" s="202"/>
      <c r="G19" s="204"/>
      <c r="H19" s="209" t="s">
        <v>243</v>
      </c>
      <c r="I19" s="211">
        <v>0.59009999999999996</v>
      </c>
      <c r="K19" s="3"/>
      <c r="L19" s="3"/>
    </row>
    <row r="20" spans="1:12" ht="12" customHeight="1">
      <c r="A20" s="6" t="s">
        <v>32</v>
      </c>
      <c r="B20" s="562" t="s">
        <v>281</v>
      </c>
      <c r="C20" s="377">
        <f ca="1">-'Bottom Up Beta'!C14*C24</f>
        <v>-3150.6532195764835</v>
      </c>
      <c r="D20" s="25"/>
      <c r="E20" s="202"/>
      <c r="F20" s="202"/>
      <c r="G20" s="203"/>
      <c r="H20" s="209" t="s">
        <v>244</v>
      </c>
      <c r="I20" s="211">
        <v>0.45</v>
      </c>
      <c r="K20" s="3"/>
      <c r="L20" s="3"/>
    </row>
    <row r="21" spans="1:12" ht="12" customHeight="1">
      <c r="A21" s="120" t="s">
        <v>42</v>
      </c>
      <c r="B21" s="562" t="s">
        <v>283</v>
      </c>
      <c r="C21" s="377">
        <f ca="1">VLOOKUP($C$16,$E$16:$F$18,2,)*C19*VLOOKUP($C$15,$H$16:$I$29,2,)</f>
        <v>56620.31455676147</v>
      </c>
      <c r="G21" s="55"/>
      <c r="H21" s="209" t="s">
        <v>245</v>
      </c>
      <c r="I21" s="211">
        <v>0.36799999999999999</v>
      </c>
    </row>
    <row r="22" spans="1:12" ht="12" customHeight="1">
      <c r="A22" s="120"/>
      <c r="B22" s="561" t="s">
        <v>289</v>
      </c>
      <c r="C22" s="362">
        <f ca="1">C19+C20+C21</f>
        <v>195020.44772908866</v>
      </c>
      <c r="D22" s="25"/>
      <c r="G22" s="201"/>
      <c r="H22" s="209" t="s">
        <v>246</v>
      </c>
      <c r="I22" s="211">
        <v>0.25</v>
      </c>
      <c r="K22" s="218"/>
      <c r="L22" s="218"/>
    </row>
    <row r="23" spans="1:12" s="24" customFormat="1" ht="12" customHeight="1">
      <c r="A23" s="121"/>
      <c r="B23" s="2"/>
      <c r="C23" s="2"/>
      <c r="D23" s="25"/>
      <c r="E23" s="2"/>
      <c r="F23" s="2"/>
      <c r="G23" s="204"/>
      <c r="H23" s="209" t="s">
        <v>247</v>
      </c>
      <c r="I23" s="211">
        <v>0.1663</v>
      </c>
      <c r="K23" s="214"/>
      <c r="L23" s="214"/>
    </row>
    <row r="24" spans="1:12" ht="12" customHeight="1">
      <c r="A24" s="24"/>
      <c r="B24" s="224" t="s">
        <v>206</v>
      </c>
      <c r="C24" s="225">
        <f>'Risk Free Rate &amp; ERP'!H20</f>
        <v>0.22029957420656662</v>
      </c>
      <c r="D24" s="168"/>
      <c r="E24" s="11"/>
      <c r="G24" s="203"/>
      <c r="H24" s="209" t="s">
        <v>241</v>
      </c>
      <c r="I24" s="211">
        <v>7.5399999999999995E-2</v>
      </c>
      <c r="K24" s="214"/>
      <c r="L24" s="214"/>
    </row>
    <row r="25" spans="1:12" ht="12" customHeight="1">
      <c r="E25" s="7"/>
      <c r="G25" s="55"/>
      <c r="H25" s="209" t="s">
        <v>240</v>
      </c>
      <c r="I25" s="211">
        <v>2.5000000000000001E-2</v>
      </c>
      <c r="K25" s="11"/>
      <c r="L25" s="11"/>
    </row>
    <row r="26" spans="1:12" ht="12" customHeight="1">
      <c r="D26" s="28"/>
      <c r="E26" s="11"/>
      <c r="G26" s="201"/>
      <c r="H26" s="209" t="s">
        <v>248</v>
      </c>
      <c r="I26" s="211">
        <v>6.6E-3</v>
      </c>
      <c r="K26" s="11"/>
      <c r="L26" s="11"/>
    </row>
    <row r="27" spans="1:12" ht="12" customHeight="1">
      <c r="C27" s="12"/>
      <c r="D27" s="3"/>
      <c r="G27" s="25"/>
      <c r="H27" s="209" t="s">
        <v>249</v>
      </c>
      <c r="I27" s="211">
        <v>6.0000000000000001E-3</v>
      </c>
    </row>
    <row r="28" spans="1:12" ht="12" customHeight="1">
      <c r="D28" s="3"/>
      <c r="E28" s="14"/>
      <c r="G28" s="5"/>
      <c r="H28" s="209" t="s">
        <v>250</v>
      </c>
      <c r="I28" s="211">
        <v>5.1000000000000004E-3</v>
      </c>
    </row>
    <row r="29" spans="1:12" ht="12" customHeight="1">
      <c r="B29" s="217"/>
      <c r="C29" s="217"/>
      <c r="D29" s="3"/>
      <c r="G29" s="5"/>
      <c r="H29" s="209" t="s">
        <v>159</v>
      </c>
      <c r="I29" s="211">
        <v>6.9999999999999999E-4</v>
      </c>
    </row>
    <row r="30" spans="1:12" ht="12" customHeight="1">
      <c r="B30" s="220"/>
      <c r="C30" s="103"/>
      <c r="D30" s="3"/>
      <c r="I30" s="3"/>
      <c r="J30" s="3"/>
    </row>
    <row r="31" spans="1:12" ht="12" customHeight="1">
      <c r="B31" s="213"/>
      <c r="C31" s="103"/>
      <c r="I31" s="3"/>
      <c r="J31" s="3"/>
    </row>
    <row r="32" spans="1:12" ht="12" customHeight="1">
      <c r="B32" s="267" t="s">
        <v>230</v>
      </c>
      <c r="C32" s="484" t="s">
        <v>317</v>
      </c>
      <c r="D32" s="484" t="s">
        <v>256</v>
      </c>
      <c r="E32" s="484" t="s">
        <v>290</v>
      </c>
      <c r="F32" s="484" t="s">
        <v>281</v>
      </c>
      <c r="G32" s="495" t="s">
        <v>253</v>
      </c>
      <c r="H32" s="484" t="s">
        <v>284</v>
      </c>
      <c r="I32" s="484" t="s">
        <v>282</v>
      </c>
      <c r="J32" s="484" t="s">
        <v>293</v>
      </c>
    </row>
    <row r="33" spans="2:15" ht="12" customHeight="1">
      <c r="B33" s="119">
        <v>0</v>
      </c>
      <c r="C33" s="501">
        <f t="shared" ref="C33:C42" ca="1" si="6">B33*$C$19</f>
        <v>0</v>
      </c>
      <c r="D33" s="514">
        <f ca="1">'Optimal Cost of Capital'!M35</f>
        <v>-7.0555213876818135</v>
      </c>
      <c r="E33" s="501">
        <f t="shared" ref="E33:E42" ca="1" si="7">$C$22</f>
        <v>195020.44772908866</v>
      </c>
      <c r="F33" s="359">
        <f t="shared" ref="F33:F42" ca="1" si="8">C33*D33</f>
        <v>0</v>
      </c>
      <c r="G33" s="497" t="str">
        <f ca="1">'Optimal Cost of Capital'!J48</f>
        <v>D</v>
      </c>
      <c r="H33" s="517">
        <f t="shared" ref="H33:H42" ca="1" si="9">VLOOKUP(G33,$H$16:$I$29,2,)</f>
        <v>1</v>
      </c>
      <c r="I33" s="359">
        <f t="shared" ref="I33:I42" ca="1" si="10">H33*VLOOKUP($C$16,$E$16:$F$18,2,)*E33</f>
        <v>78008.179091635466</v>
      </c>
      <c r="J33" s="359">
        <f t="shared" ref="J33:J42" ca="1" si="11">E33+F33-I33</f>
        <v>117012.26863745319</v>
      </c>
      <c r="M33" s="218"/>
    </row>
    <row r="34" spans="2:15" ht="12" customHeight="1">
      <c r="B34" s="119">
        <v>0.01</v>
      </c>
      <c r="C34" s="501">
        <f t="shared" ca="1" si="6"/>
        <v>1415.5078639190367</v>
      </c>
      <c r="D34" s="514">
        <f ca="1">'Optimal Cost of Capital'!M36</f>
        <v>-3.5277606938409067</v>
      </c>
      <c r="E34" s="501">
        <f t="shared" ca="1" si="7"/>
        <v>195020.44772908866</v>
      </c>
      <c r="F34" s="359">
        <f t="shared" ca="1" si="8"/>
        <v>-4993.5730041562811</v>
      </c>
      <c r="G34" s="497" t="str">
        <f ca="1">'Optimal Cost of Capital'!J49</f>
        <v>D</v>
      </c>
      <c r="H34" s="517">
        <f t="shared" ca="1" si="9"/>
        <v>1</v>
      </c>
      <c r="I34" s="359">
        <f t="shared" ca="1" si="10"/>
        <v>78008.179091635466</v>
      </c>
      <c r="J34" s="359">
        <f t="shared" ca="1" si="11"/>
        <v>112018.6956332969</v>
      </c>
      <c r="M34" s="214"/>
      <c r="N34" s="218"/>
      <c r="O34" s="218"/>
    </row>
    <row r="35" spans="2:15" ht="12" customHeight="1">
      <c r="B35" s="119">
        <v>0.02</v>
      </c>
      <c r="C35" s="501">
        <f t="shared" ca="1" si="6"/>
        <v>2831.0157278380734</v>
      </c>
      <c r="D35" s="514">
        <f ca="1">'Optimal Cost of Capital'!M37</f>
        <v>-1.7638803469204534</v>
      </c>
      <c r="E35" s="501">
        <f t="shared" ca="1" si="7"/>
        <v>195020.44772908866</v>
      </c>
      <c r="F35" s="359">
        <f t="shared" ca="1" si="8"/>
        <v>-4993.5730041562811</v>
      </c>
      <c r="G35" s="497" t="str">
        <f ca="1">'Optimal Cost of Capital'!J50</f>
        <v>D</v>
      </c>
      <c r="H35" s="517">
        <f t="shared" ca="1" si="9"/>
        <v>1</v>
      </c>
      <c r="I35" s="359">
        <f t="shared" ca="1" si="10"/>
        <v>78008.179091635466</v>
      </c>
      <c r="J35" s="359">
        <f t="shared" ca="1" si="11"/>
        <v>112018.6956332969</v>
      </c>
      <c r="M35" s="214"/>
      <c r="N35" s="214"/>
      <c r="O35" s="215"/>
    </row>
    <row r="36" spans="2:15" ht="12" customHeight="1">
      <c r="B36" s="119">
        <v>0.03</v>
      </c>
      <c r="C36" s="501">
        <f t="shared" ca="1" si="6"/>
        <v>4246.5235917571099</v>
      </c>
      <c r="D36" s="514">
        <f ca="1">'Optimal Cost of Capital'!M38</f>
        <v>-1.1759202312803025</v>
      </c>
      <c r="E36" s="501">
        <f t="shared" ca="1" si="7"/>
        <v>195020.44772908866</v>
      </c>
      <c r="F36" s="359">
        <f t="shared" ca="1" si="8"/>
        <v>-4993.573004156282</v>
      </c>
      <c r="G36" s="497" t="str">
        <f ca="1">'Optimal Cost of Capital'!J51</f>
        <v>D</v>
      </c>
      <c r="H36" s="517">
        <f t="shared" ca="1" si="9"/>
        <v>1</v>
      </c>
      <c r="I36" s="359">
        <f t="shared" ca="1" si="10"/>
        <v>78008.179091635466</v>
      </c>
      <c r="J36" s="359">
        <f t="shared" ca="1" si="11"/>
        <v>112018.6956332969</v>
      </c>
      <c r="N36" s="214"/>
      <c r="O36" s="222"/>
    </row>
    <row r="37" spans="2:15" ht="12" customHeight="1">
      <c r="B37" s="119">
        <v>0.04</v>
      </c>
      <c r="C37" s="501">
        <f t="shared" ca="1" si="6"/>
        <v>5662.0314556761468</v>
      </c>
      <c r="D37" s="514">
        <f ca="1">'Optimal Cost of Capital'!M39</f>
        <v>-0.88194017346022668</v>
      </c>
      <c r="E37" s="501">
        <f t="shared" ca="1" si="7"/>
        <v>195020.44772908866</v>
      </c>
      <c r="F37" s="359">
        <f t="shared" ca="1" si="8"/>
        <v>-4993.5730041562811</v>
      </c>
      <c r="G37" s="497" t="str">
        <f ca="1">'Optimal Cost of Capital'!J52</f>
        <v>D</v>
      </c>
      <c r="H37" s="517">
        <f t="shared" ca="1" si="9"/>
        <v>1</v>
      </c>
      <c r="I37" s="359">
        <f t="shared" ca="1" si="10"/>
        <v>78008.179091635466</v>
      </c>
      <c r="J37" s="359">
        <f t="shared" ca="1" si="11"/>
        <v>112018.6956332969</v>
      </c>
      <c r="M37" s="214"/>
    </row>
    <row r="38" spans="2:15" ht="12" customHeight="1">
      <c r="B38" s="119">
        <v>0.05</v>
      </c>
      <c r="C38" s="501">
        <f t="shared" ca="1" si="6"/>
        <v>7077.5393195951838</v>
      </c>
      <c r="D38" s="514">
        <f ca="1">'Optimal Cost of Capital'!M40</f>
        <v>-0.70555213876818135</v>
      </c>
      <c r="E38" s="501">
        <f t="shared" ca="1" si="7"/>
        <v>195020.44772908866</v>
      </c>
      <c r="F38" s="359">
        <f t="shared" ca="1" si="8"/>
        <v>-4993.5730041562811</v>
      </c>
      <c r="G38" s="497" t="str">
        <f ca="1">'Optimal Cost of Capital'!J53</f>
        <v>D</v>
      </c>
      <c r="H38" s="517">
        <f t="shared" ca="1" si="9"/>
        <v>1</v>
      </c>
      <c r="I38" s="359">
        <f t="shared" ca="1" si="10"/>
        <v>78008.179091635466</v>
      </c>
      <c r="J38" s="359">
        <f t="shared" ca="1" si="11"/>
        <v>112018.6956332969</v>
      </c>
      <c r="N38" s="11"/>
      <c r="O38" s="222"/>
    </row>
    <row r="39" spans="2:15" ht="12" customHeight="1">
      <c r="B39" s="119">
        <v>0.06</v>
      </c>
      <c r="C39" s="501">
        <f t="shared" ca="1" si="6"/>
        <v>8493.0471835142198</v>
      </c>
      <c r="D39" s="514">
        <f ca="1">'Optimal Cost of Capital'!M41</f>
        <v>-0.58796011564015127</v>
      </c>
      <c r="E39" s="501">
        <f t="shared" ca="1" si="7"/>
        <v>195020.44772908866</v>
      </c>
      <c r="F39" s="359">
        <f t="shared" ca="1" si="8"/>
        <v>-4993.573004156282</v>
      </c>
      <c r="G39" s="497" t="str">
        <f ca="1">'Optimal Cost of Capital'!J54</f>
        <v>D</v>
      </c>
      <c r="H39" s="517">
        <f t="shared" ca="1" si="9"/>
        <v>1</v>
      </c>
      <c r="I39" s="359">
        <f t="shared" ca="1" si="10"/>
        <v>78008.179091635466</v>
      </c>
      <c r="J39" s="359">
        <f t="shared" ca="1" si="11"/>
        <v>112018.6956332969</v>
      </c>
    </row>
    <row r="40" spans="2:15" ht="12" customHeight="1">
      <c r="B40" s="505">
        <v>7.0000000000000007E-2</v>
      </c>
      <c r="C40" s="509">
        <f t="shared" ca="1" si="6"/>
        <v>9908.5550474332576</v>
      </c>
      <c r="D40" s="518">
        <f ca="1">'Optimal Cost of Capital'!M42</f>
        <v>-0.50396581340584379</v>
      </c>
      <c r="E40" s="509">
        <f t="shared" ca="1" si="7"/>
        <v>195020.44772908866</v>
      </c>
      <c r="F40" s="519">
        <f t="shared" ca="1" si="8"/>
        <v>-4993.5730041562811</v>
      </c>
      <c r="G40" s="520" t="str">
        <f ca="1">'Optimal Cost of Capital'!J55</f>
        <v>D</v>
      </c>
      <c r="H40" s="521">
        <f t="shared" ca="1" si="9"/>
        <v>1</v>
      </c>
      <c r="I40" s="519">
        <f t="shared" ca="1" si="10"/>
        <v>78008.179091635466</v>
      </c>
      <c r="J40" s="519">
        <f t="shared" ca="1" si="11"/>
        <v>112018.6956332969</v>
      </c>
      <c r="K40" s="206" t="s">
        <v>257</v>
      </c>
    </row>
    <row r="41" spans="2:15" ht="12" customHeight="1">
      <c r="B41" s="119">
        <v>0.08</v>
      </c>
      <c r="C41" s="501">
        <f t="shared" ca="1" si="6"/>
        <v>11324.062911352294</v>
      </c>
      <c r="D41" s="514">
        <f ca="1">'Optimal Cost of Capital'!M43</f>
        <v>-0.44097008673011334</v>
      </c>
      <c r="E41" s="501">
        <f t="shared" ca="1" si="7"/>
        <v>195020.44772908866</v>
      </c>
      <c r="F41" s="359">
        <f t="shared" ca="1" si="8"/>
        <v>-4993.5730041562811</v>
      </c>
      <c r="G41" s="497" t="str">
        <f ca="1">'Optimal Cost of Capital'!J56</f>
        <v>D</v>
      </c>
      <c r="H41" s="517">
        <f t="shared" ca="1" si="9"/>
        <v>1</v>
      </c>
      <c r="I41" s="359">
        <f t="shared" ca="1" si="10"/>
        <v>78008.179091635466</v>
      </c>
      <c r="J41" s="359">
        <f t="shared" ca="1" si="11"/>
        <v>112018.6956332969</v>
      </c>
    </row>
    <row r="42" spans="2:15" ht="12" customHeight="1">
      <c r="B42" s="119">
        <v>0.09</v>
      </c>
      <c r="C42" s="501">
        <f t="shared" ca="1" si="6"/>
        <v>12739.57077527133</v>
      </c>
      <c r="D42" s="514">
        <f ca="1">'Optimal Cost of Capital'!M44</f>
        <v>-0.39197341042676748</v>
      </c>
      <c r="E42" s="501">
        <f t="shared" ca="1" si="7"/>
        <v>195020.44772908866</v>
      </c>
      <c r="F42" s="359">
        <f t="shared" ca="1" si="8"/>
        <v>-4993.5730041562811</v>
      </c>
      <c r="G42" s="497" t="str">
        <f ca="1">'Optimal Cost of Capital'!J57</f>
        <v>D</v>
      </c>
      <c r="H42" s="517">
        <f t="shared" ca="1" si="9"/>
        <v>1</v>
      </c>
      <c r="I42" s="359">
        <f t="shared" ca="1" si="10"/>
        <v>78008.179091635466</v>
      </c>
      <c r="J42" s="359">
        <f t="shared" ca="1" si="11"/>
        <v>112018.6956332969</v>
      </c>
    </row>
  </sheetData>
  <pageMargins left="0.7" right="0.7" top="0.75" bottom="0.75" header="0.3" footer="0.3"/>
  <pageSetup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318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
  <sheetViews>
    <sheetView workbookViewId="0"/>
  </sheetViews>
  <sheetFormatPr defaultRowHeight="12" customHeight="1"/>
  <cols>
    <col min="1" max="1" width="2" style="2" customWidth="1"/>
    <col min="2" max="2" width="21.5703125" style="2" customWidth="1"/>
    <col min="3" max="7" width="11.7109375" style="2" customWidth="1"/>
    <col min="8" max="8" width="6.5703125" style="2" customWidth="1"/>
    <col min="9" max="9" width="25.140625" style="2" customWidth="1"/>
    <col min="10" max="10" width="11" style="2" customWidth="1"/>
    <col min="11" max="11" width="10.28515625" style="2" customWidth="1"/>
    <col min="12" max="12" width="12.28515625" style="2" customWidth="1"/>
    <col min="13" max="13" width="11.5703125" style="2" customWidth="1"/>
    <col min="14" max="14" width="11.85546875" style="2" customWidth="1"/>
    <col min="15" max="16" width="9.140625" style="2"/>
    <col min="17" max="17" width="11.5703125" style="2" customWidth="1"/>
    <col min="18" max="18" width="12.7109375" style="2" customWidth="1"/>
    <col min="19" max="19" width="10.140625" style="2" bestFit="1" customWidth="1"/>
    <col min="20" max="16384" width="9.140625" style="2"/>
  </cols>
  <sheetData>
    <row r="1" spans="1:14" ht="16.5" customHeight="1">
      <c r="B1" s="15" t="s">
        <v>767</v>
      </c>
    </row>
    <row r="3" spans="1:14" ht="12" customHeight="1">
      <c r="B3" s="247" t="s">
        <v>483</v>
      </c>
      <c r="C3" s="440">
        <v>1</v>
      </c>
      <c r="D3" s="440">
        <v>2</v>
      </c>
      <c r="E3" s="440"/>
      <c r="F3" s="440">
        <v>3</v>
      </c>
      <c r="G3" s="440">
        <v>3</v>
      </c>
    </row>
    <row r="4" spans="1:14" ht="12" customHeight="1" thickBot="1">
      <c r="B4" s="349" t="str">
        <f>Drivers!$C$5&amp;" in mil"</f>
        <v>$ in mil</v>
      </c>
      <c r="C4" s="414">
        <v>43101</v>
      </c>
      <c r="D4" s="414">
        <f>EDATE(C4,12)</f>
        <v>43466</v>
      </c>
      <c r="E4" s="414">
        <f t="shared" ref="E4:G4" si="0">EDATE(D4,12)</f>
        <v>43831</v>
      </c>
      <c r="F4" s="414">
        <f t="shared" si="0"/>
        <v>44197</v>
      </c>
      <c r="G4" s="414">
        <f t="shared" si="0"/>
        <v>44562</v>
      </c>
    </row>
    <row r="5" spans="1:14" ht="12" customHeight="1">
      <c r="B5" s="567" t="s">
        <v>319</v>
      </c>
      <c r="C5" s="568">
        <f>-'Cash Flow Statement'!C49</f>
        <v>3946</v>
      </c>
      <c r="D5" s="568">
        <f>-'Cash Flow Statement'!D49</f>
        <v>4630</v>
      </c>
      <c r="E5" s="568">
        <f>-'Cash Flow Statement'!E49</f>
        <v>1158</v>
      </c>
      <c r="F5" s="568">
        <f>-'Cash Flow Statement'!F49</f>
        <v>0</v>
      </c>
      <c r="G5" s="568">
        <f>-'Cash Flow Statement'!G49</f>
        <v>0</v>
      </c>
    </row>
    <row r="6" spans="1:14" ht="12" customHeight="1">
      <c r="B6" s="569" t="s">
        <v>481</v>
      </c>
      <c r="C6" s="568">
        <f>-'Cash Flow Statement'!C48</f>
        <v>9000</v>
      </c>
      <c r="D6" s="568">
        <f>-'Cash Flow Statement'!D48</f>
        <v>2651</v>
      </c>
      <c r="E6" s="568">
        <f>-'Cash Flow Statement'!E48</f>
        <v>0</v>
      </c>
      <c r="F6" s="568">
        <f>-'Cash Flow Statement'!F48</f>
        <v>0</v>
      </c>
      <c r="G6" s="568">
        <f>-'Cash Flow Statement'!G48</f>
        <v>0</v>
      </c>
      <c r="H6" s="3"/>
    </row>
    <row r="7" spans="1:14" ht="12" customHeight="1">
      <c r="B7" s="570" t="s">
        <v>482</v>
      </c>
      <c r="C7" s="392">
        <f>SUM(C5:C6)</f>
        <v>12946</v>
      </c>
      <c r="D7" s="392">
        <f t="shared" ref="D7:F7" si="1">SUM(D5:D6)</f>
        <v>7281</v>
      </c>
      <c r="E7" s="392">
        <f t="shared" si="1"/>
        <v>1158</v>
      </c>
      <c r="F7" s="392">
        <f t="shared" si="1"/>
        <v>0</v>
      </c>
      <c r="G7" s="392">
        <f>SUM(G5:G6)</f>
        <v>0</v>
      </c>
      <c r="H7" s="3"/>
      <c r="I7" s="576" t="s">
        <v>328</v>
      </c>
      <c r="J7" s="576"/>
    </row>
    <row r="8" spans="1:14" ht="12" customHeight="1">
      <c r="B8" s="565"/>
      <c r="C8" s="566"/>
      <c r="D8" s="566"/>
      <c r="E8" s="103"/>
      <c r="F8" s="202"/>
      <c r="G8" s="391">
        <f>SUM(C7:G7)</f>
        <v>21385</v>
      </c>
      <c r="I8" s="578" t="s">
        <v>327</v>
      </c>
      <c r="J8" s="36">
        <f>'Expected Growth Rate'!C9</f>
        <v>-9.323017990279539E-2</v>
      </c>
      <c r="K8" s="3"/>
    </row>
    <row r="9" spans="1:14" ht="12" customHeight="1">
      <c r="H9" s="219"/>
      <c r="I9" s="578" t="s">
        <v>768</v>
      </c>
      <c r="J9" s="36">
        <f ca="1">'Cost of Equity, Debt &amp; WACC'!C29</f>
        <v>9.6211215834147629E-2</v>
      </c>
      <c r="K9" s="3"/>
    </row>
    <row r="10" spans="1:14" ht="12" customHeight="1">
      <c r="A10" s="3"/>
      <c r="B10" s="247" t="s">
        <v>484</v>
      </c>
      <c r="C10" s="440">
        <v>1</v>
      </c>
      <c r="D10" s="440">
        <v>2</v>
      </c>
      <c r="E10" s="440"/>
      <c r="F10" s="440">
        <v>3</v>
      </c>
      <c r="G10" s="440">
        <v>3</v>
      </c>
      <c r="H10" s="221"/>
      <c r="I10" s="577" t="s">
        <v>738</v>
      </c>
      <c r="J10" s="233" t="str">
        <f ca="1">IF(J8&gt;J9,"Good","Bad")</f>
        <v>Bad</v>
      </c>
    </row>
    <row r="11" spans="1:14" ht="12" customHeight="1" thickBot="1">
      <c r="A11" s="3"/>
      <c r="B11" s="349" t="str">
        <f>Drivers!$C$5&amp;" in mil"</f>
        <v>$ in mil</v>
      </c>
      <c r="C11" s="414">
        <v>43466</v>
      </c>
      <c r="D11" s="414">
        <f>EDATE(C11,12)</f>
        <v>43831</v>
      </c>
      <c r="E11" s="414">
        <f t="shared" ref="E11:F11" si="2">EDATE(D11,12)</f>
        <v>44197</v>
      </c>
      <c r="F11" s="414">
        <f t="shared" si="2"/>
        <v>44562</v>
      </c>
      <c r="G11" s="571" t="s">
        <v>320</v>
      </c>
      <c r="K11" s="218"/>
      <c r="L11" s="218"/>
      <c r="M11" s="218"/>
    </row>
    <row r="12" spans="1:14" ht="12" customHeight="1">
      <c r="B12" s="567" t="s">
        <v>321</v>
      </c>
      <c r="C12" s="360">
        <f>'Income Statement'!D26</f>
        <v>-636</v>
      </c>
      <c r="D12" s="360">
        <f>'Income Statement'!E26</f>
        <v>-11941</v>
      </c>
      <c r="E12" s="360">
        <f>'Income Statement'!F26</f>
        <v>-4290</v>
      </c>
      <c r="F12" s="360">
        <f>'Income Statement'!G26</f>
        <v>-5053</v>
      </c>
      <c r="G12" s="360">
        <f>SUM(C12:F12)</f>
        <v>-21920</v>
      </c>
      <c r="K12" s="214"/>
      <c r="L12" s="214"/>
      <c r="M12" s="215"/>
    </row>
    <row r="13" spans="1:14" ht="12" customHeight="1">
      <c r="B13" s="569"/>
      <c r="C13" s="568"/>
      <c r="D13" s="568"/>
      <c r="E13" s="568"/>
      <c r="F13" s="568"/>
      <c r="G13" s="568"/>
      <c r="M13" s="222"/>
    </row>
    <row r="14" spans="1:14" s="22" customFormat="1" ht="12" customHeight="1">
      <c r="B14" s="567" t="s">
        <v>322</v>
      </c>
      <c r="C14" s="360">
        <f>Reinvestment!G5</f>
        <v>1500</v>
      </c>
      <c r="D14" s="360">
        <f>Reinvestment!H5</f>
        <v>1007</v>
      </c>
      <c r="E14" s="360">
        <f>Reinvestment!I5</f>
        <v>451</v>
      </c>
      <c r="F14" s="360">
        <f>Reinvestment!J5</f>
        <v>1187</v>
      </c>
      <c r="G14" s="360">
        <f>SUM(C14:F14)</f>
        <v>4145</v>
      </c>
      <c r="H14" s="2"/>
      <c r="K14" s="2"/>
      <c r="L14" s="2"/>
      <c r="M14" s="2"/>
      <c r="N14" s="2"/>
    </row>
    <row r="15" spans="1:14" ht="12" customHeight="1">
      <c r="B15" s="567" t="s">
        <v>165</v>
      </c>
      <c r="C15" s="360">
        <f>Reinvestment!G6</f>
        <v>2271</v>
      </c>
      <c r="D15" s="360">
        <f>Reinvestment!H6</f>
        <v>2246</v>
      </c>
      <c r="E15" s="360">
        <f>Reinvestment!I6</f>
        <v>2144</v>
      </c>
      <c r="F15" s="360">
        <f>Reinvestment!J6</f>
        <v>1979</v>
      </c>
      <c r="G15" s="360">
        <f>SUM(C15:F15)</f>
        <v>8640</v>
      </c>
      <c r="M15" s="222"/>
    </row>
    <row r="16" spans="1:14" ht="12" customHeight="1">
      <c r="A16" s="6" t="s">
        <v>32</v>
      </c>
      <c r="B16" s="572" t="s">
        <v>44</v>
      </c>
      <c r="C16" s="573">
        <f>C14-C15</f>
        <v>-771</v>
      </c>
      <c r="D16" s="573">
        <f>D14-D15</f>
        <v>-1239</v>
      </c>
      <c r="E16" s="573">
        <f>E14-E15</f>
        <v>-1693</v>
      </c>
      <c r="F16" s="573">
        <f>F14-F15</f>
        <v>-792</v>
      </c>
      <c r="G16" s="361">
        <f>SUM(C16:F16)</f>
        <v>-4495</v>
      </c>
    </row>
    <row r="17" spans="1:15" ht="12" customHeight="1">
      <c r="C17" s="455"/>
      <c r="D17" s="455"/>
      <c r="E17" s="455"/>
      <c r="F17" s="455"/>
      <c r="G17" s="455"/>
    </row>
    <row r="18" spans="1:15" ht="12" customHeight="1">
      <c r="A18" s="2" t="s">
        <v>32</v>
      </c>
      <c r="B18" s="572" t="s">
        <v>323</v>
      </c>
      <c r="C18" s="361">
        <f>Reinvestment!G24</f>
        <v>-94</v>
      </c>
      <c r="D18" s="361">
        <f>Reinvestment!H24</f>
        <v>6071</v>
      </c>
      <c r="E18" s="361">
        <f>Reinvestment!I24</f>
        <v>3935</v>
      </c>
      <c r="F18" s="361">
        <f>Reinvestment!J24</f>
        <v>-4934</v>
      </c>
      <c r="G18" s="361">
        <f>SUM(C18:F18)</f>
        <v>4978</v>
      </c>
    </row>
    <row r="19" spans="1:15" ht="12" customHeight="1">
      <c r="C19" s="455"/>
      <c r="D19" s="455"/>
      <c r="E19" s="455"/>
      <c r="F19" s="455"/>
      <c r="G19" s="455"/>
    </row>
    <row r="20" spans="1:15" ht="12" customHeight="1">
      <c r="A20" s="24"/>
      <c r="B20" s="567" t="s">
        <v>324</v>
      </c>
      <c r="C20" s="360">
        <f>'FCFF &amp; FCFE'!G6</f>
        <v>-12171</v>
      </c>
      <c r="D20" s="360">
        <f>'FCFF &amp; FCFE'!H6</f>
        <v>-10998</v>
      </c>
      <c r="E20" s="360">
        <f>'FCFF &amp; FCFE'!I6</f>
        <v>-15371</v>
      </c>
      <c r="F20" s="360">
        <f>'FCFF &amp; FCFE'!J6</f>
        <v>-1310</v>
      </c>
      <c r="G20" s="360">
        <f>SUM(C20:F20)</f>
        <v>-39850</v>
      </c>
    </row>
    <row r="21" spans="1:15" ht="12" customHeight="1">
      <c r="A21" s="6"/>
      <c r="B21" s="567" t="s">
        <v>55</v>
      </c>
      <c r="C21" s="360">
        <f>'FCFF &amp; FCFE'!G5</f>
        <v>25389</v>
      </c>
      <c r="D21" s="360">
        <f>'FCFF &amp; FCFE'!H5</f>
        <v>47248</v>
      </c>
      <c r="E21" s="360">
        <f>'FCFF &amp; FCFE'!I5</f>
        <v>9795</v>
      </c>
      <c r="F21" s="360">
        <f>'FCFF &amp; FCFE'!J5</f>
        <v>34</v>
      </c>
      <c r="G21" s="360">
        <f>SUM(C21:F21)</f>
        <v>82466</v>
      </c>
    </row>
    <row r="22" spans="1:15" ht="12" customHeight="1">
      <c r="A22" s="24" t="s">
        <v>42</v>
      </c>
      <c r="B22" s="572" t="s">
        <v>313</v>
      </c>
      <c r="C22" s="361">
        <f t="shared" ref="C22:E22" si="3">C21+C20</f>
        <v>13218</v>
      </c>
      <c r="D22" s="361">
        <f t="shared" si="3"/>
        <v>36250</v>
      </c>
      <c r="E22" s="361">
        <f t="shared" si="3"/>
        <v>-5576</v>
      </c>
      <c r="F22" s="361">
        <f>F21+F20</f>
        <v>-1276</v>
      </c>
      <c r="G22" s="361">
        <f>SUM(C22:F22)</f>
        <v>42616</v>
      </c>
    </row>
    <row r="23" spans="1:15" s="24" customFormat="1" ht="12" customHeight="1">
      <c r="B23" s="2"/>
      <c r="C23" s="455"/>
      <c r="D23" s="455"/>
      <c r="E23" s="455"/>
      <c r="F23" s="455"/>
      <c r="G23" s="455"/>
      <c r="H23" s="2"/>
      <c r="I23" s="2"/>
      <c r="J23" s="2"/>
      <c r="K23" s="2"/>
      <c r="L23" s="2"/>
      <c r="M23" s="2"/>
      <c r="N23" s="2"/>
      <c r="O23" s="2"/>
    </row>
    <row r="24" spans="1:15" ht="12" customHeight="1">
      <c r="B24" s="570" t="s">
        <v>325</v>
      </c>
      <c r="C24" s="392">
        <f>C12-C16-C18+C22</f>
        <v>13447</v>
      </c>
      <c r="D24" s="392">
        <f>D12-D16-D18+D22</f>
        <v>19477</v>
      </c>
      <c r="E24" s="392">
        <f>E12-E16-E18+E22</f>
        <v>-12108</v>
      </c>
      <c r="F24" s="392">
        <f>F12-F16-F18+F22</f>
        <v>-603</v>
      </c>
      <c r="G24" s="392">
        <f>SUM(C24:F24)</f>
        <v>20213</v>
      </c>
    </row>
    <row r="26" spans="1:15" ht="12" customHeight="1">
      <c r="A26" s="342"/>
      <c r="B26" s="574" t="s">
        <v>326</v>
      </c>
      <c r="C26" s="575">
        <f>G8/G24</f>
        <v>1.0579824865185772</v>
      </c>
    </row>
  </sheetData>
  <pageMargins left="0.7" right="0.7" top="0.75" bottom="0.75" header="0.3" footer="0.3"/>
  <pageSetup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29" t="s">
        <v>461</v>
      </c>
    </row>
    <row r="3" spans="2:2">
      <c r="B3" s="83"/>
    </row>
    <row r="4" spans="2:2">
      <c r="B4" s="83"/>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36"/>
  <sheetViews>
    <sheetView workbookViewId="0"/>
  </sheetViews>
  <sheetFormatPr defaultColWidth="9.140625" defaultRowHeight="12.95" customHeight="1"/>
  <cols>
    <col min="1" max="1" width="2" style="235" customWidth="1"/>
    <col min="2" max="2" width="35.140625" style="235" customWidth="1"/>
    <col min="3" max="8" width="11.7109375" style="235" customWidth="1"/>
    <col min="9" max="9" width="10.42578125" style="235" customWidth="1"/>
    <col min="10" max="13" width="11.7109375" style="235" customWidth="1"/>
    <col min="14" max="16384" width="9.140625" style="235"/>
  </cols>
  <sheetData>
    <row r="1" spans="2:9" ht="16.5" customHeight="1">
      <c r="B1" s="234" t="s">
        <v>374</v>
      </c>
    </row>
    <row r="3" spans="2:9" ht="12.95" customHeight="1">
      <c r="B3" s="247" t="s">
        <v>374</v>
      </c>
      <c r="C3" s="247"/>
      <c r="D3" s="247"/>
      <c r="E3" s="247"/>
      <c r="F3" s="247"/>
      <c r="G3" s="247"/>
    </row>
    <row r="4" spans="2:9" ht="12.95" customHeight="1" thickBot="1">
      <c r="B4" s="349" t="str">
        <f>Drivers!$C$5&amp;" in mil"</f>
        <v>$ in mil</v>
      </c>
      <c r="C4" s="414">
        <v>43101</v>
      </c>
      <c r="D4" s="414">
        <f>EDATE(C4,12)</f>
        <v>43466</v>
      </c>
      <c r="E4" s="414">
        <f t="shared" ref="E4:G4" si="0">EDATE(D4,12)</f>
        <v>43831</v>
      </c>
      <c r="F4" s="414">
        <f t="shared" si="0"/>
        <v>44197</v>
      </c>
      <c r="G4" s="414">
        <f t="shared" si="0"/>
        <v>44562</v>
      </c>
      <c r="H4" s="618" t="s">
        <v>766</v>
      </c>
    </row>
    <row r="5" spans="2:9" ht="12.95" customHeight="1">
      <c r="B5" s="588" t="s">
        <v>522</v>
      </c>
      <c r="C5" s="536">
        <v>90229</v>
      </c>
      <c r="D5" s="536">
        <v>66094</v>
      </c>
      <c r="E5" s="536">
        <v>47142</v>
      </c>
      <c r="F5" s="536">
        <v>51386</v>
      </c>
      <c r="G5" s="536">
        <v>55893</v>
      </c>
      <c r="I5" s="591"/>
    </row>
    <row r="6" spans="2:9" ht="12.95" customHeight="1">
      <c r="B6" s="588" t="s">
        <v>523</v>
      </c>
      <c r="C6" s="536">
        <v>10898</v>
      </c>
      <c r="D6" s="536">
        <v>10465</v>
      </c>
      <c r="E6" s="536">
        <v>11016</v>
      </c>
      <c r="F6" s="536">
        <v>10900</v>
      </c>
      <c r="G6" s="536">
        <v>10715</v>
      </c>
    </row>
    <row r="7" spans="2:9" ht="12.95" customHeight="1">
      <c r="B7" s="589" t="s">
        <v>526</v>
      </c>
      <c r="C7" s="590">
        <f>SUM(C5:C6)</f>
        <v>101127</v>
      </c>
      <c r="D7" s="590">
        <f t="shared" ref="D7:G7" si="1">SUM(D5:D6)</f>
        <v>76559</v>
      </c>
      <c r="E7" s="590">
        <f t="shared" si="1"/>
        <v>58158</v>
      </c>
      <c r="F7" s="590">
        <f t="shared" si="1"/>
        <v>62286</v>
      </c>
      <c r="G7" s="590">
        <f t="shared" si="1"/>
        <v>66608</v>
      </c>
    </row>
    <row r="8" spans="2:9" ht="12.95" customHeight="1">
      <c r="B8" s="588" t="s">
        <v>524</v>
      </c>
      <c r="C8" s="536">
        <v>-72922</v>
      </c>
      <c r="D8" s="536">
        <v>-62877</v>
      </c>
      <c r="E8" s="536">
        <v>-54568</v>
      </c>
      <c r="F8" s="536">
        <v>-49954</v>
      </c>
      <c r="G8" s="536">
        <v>-53969</v>
      </c>
    </row>
    <row r="9" spans="2:9" ht="12.95" customHeight="1">
      <c r="B9" s="588" t="s">
        <v>525</v>
      </c>
      <c r="C9" s="536">
        <v>-8499</v>
      </c>
      <c r="D9" s="536">
        <v>-9154</v>
      </c>
      <c r="E9" s="536">
        <v>-9232</v>
      </c>
      <c r="F9" s="536">
        <v>-9283</v>
      </c>
      <c r="G9" s="536">
        <v>-9109</v>
      </c>
    </row>
    <row r="10" spans="2:9" ht="12.95" customHeight="1">
      <c r="B10" s="529" t="s">
        <v>527</v>
      </c>
      <c r="C10" s="530">
        <v>-81490</v>
      </c>
      <c r="D10" s="530">
        <v>-72093</v>
      </c>
      <c r="E10" s="530">
        <v>-63843</v>
      </c>
      <c r="F10" s="530">
        <v>-59269</v>
      </c>
      <c r="G10" s="530">
        <v>-63106</v>
      </c>
    </row>
    <row r="11" spans="2:9" ht="12.95" customHeight="1">
      <c r="B11" s="526" t="s">
        <v>420</v>
      </c>
      <c r="C11" s="527">
        <f>C7+C10</f>
        <v>19637</v>
      </c>
      <c r="D11" s="527">
        <f t="shared" ref="D11:G11" si="2">D7+D10</f>
        <v>4466</v>
      </c>
      <c r="E11" s="527">
        <f t="shared" si="2"/>
        <v>-5685</v>
      </c>
      <c r="F11" s="527">
        <f t="shared" si="2"/>
        <v>3017</v>
      </c>
      <c r="G11" s="527">
        <f t="shared" si="2"/>
        <v>3502</v>
      </c>
    </row>
    <row r="12" spans="2:9" ht="12.95" customHeight="1">
      <c r="B12" s="523" t="s">
        <v>421</v>
      </c>
      <c r="C12" s="524"/>
      <c r="D12" s="524"/>
      <c r="E12" s="524"/>
      <c r="F12" s="524"/>
      <c r="G12" s="524"/>
    </row>
    <row r="13" spans="2:9" ht="12.95" customHeight="1">
      <c r="B13" s="528" t="s">
        <v>424</v>
      </c>
      <c r="C13" s="536">
        <v>-3269</v>
      </c>
      <c r="D13" s="536">
        <v>-3219</v>
      </c>
      <c r="E13" s="536">
        <v>-2476</v>
      </c>
      <c r="F13" s="536">
        <v>-2249</v>
      </c>
      <c r="G13" s="536">
        <v>-2852</v>
      </c>
    </row>
    <row r="14" spans="2:9" ht="12.95" customHeight="1">
      <c r="B14" s="528" t="s">
        <v>423</v>
      </c>
      <c r="C14" s="536">
        <v>0</v>
      </c>
      <c r="D14" s="536">
        <v>0</v>
      </c>
      <c r="E14" s="536">
        <v>0</v>
      </c>
      <c r="F14" s="536">
        <v>0</v>
      </c>
      <c r="G14" s="536">
        <v>0</v>
      </c>
    </row>
    <row r="15" spans="2:9" ht="12.95" customHeight="1">
      <c r="B15" s="528" t="s">
        <v>425</v>
      </c>
      <c r="C15" s="536">
        <v>-4567</v>
      </c>
      <c r="D15" s="536">
        <v>-3909</v>
      </c>
      <c r="E15" s="536">
        <v>-4817</v>
      </c>
      <c r="F15" s="536">
        <v>-4157</v>
      </c>
      <c r="G15" s="536">
        <v>-4187</v>
      </c>
    </row>
    <row r="16" spans="2:9" ht="12.95" customHeight="1">
      <c r="B16" s="531" t="s">
        <v>519</v>
      </c>
      <c r="C16" s="537">
        <v>75</v>
      </c>
      <c r="D16" s="537">
        <v>691</v>
      </c>
      <c r="E16" s="537">
        <v>202</v>
      </c>
      <c r="F16" s="537">
        <v>277</v>
      </c>
      <c r="G16" s="537">
        <v>6</v>
      </c>
    </row>
    <row r="17" spans="2:8" ht="12.95" customHeight="1">
      <c r="B17" s="531" t="s">
        <v>521</v>
      </c>
      <c r="C17" s="537">
        <v>111</v>
      </c>
      <c r="D17" s="537">
        <v>-4</v>
      </c>
      <c r="E17" s="537">
        <v>9</v>
      </c>
      <c r="F17" s="537">
        <v>210</v>
      </c>
      <c r="G17" s="537">
        <v>-16</v>
      </c>
    </row>
    <row r="18" spans="2:8" ht="12.95" customHeight="1">
      <c r="B18" s="538" t="s">
        <v>426</v>
      </c>
      <c r="C18" s="530">
        <f>SUM(C13:C17)</f>
        <v>-7650</v>
      </c>
      <c r="D18" s="530">
        <f>SUM(D13:D17)</f>
        <v>-6441</v>
      </c>
      <c r="E18" s="530">
        <f>SUM(E13:E17)</f>
        <v>-7082</v>
      </c>
      <c r="F18" s="530">
        <f>SUM(F13:F17)</f>
        <v>-5919</v>
      </c>
      <c r="G18" s="530">
        <f>SUM(G13:G17)</f>
        <v>-7049</v>
      </c>
    </row>
    <row r="19" spans="2:8" ht="12.95" customHeight="1">
      <c r="B19" s="526" t="s">
        <v>390</v>
      </c>
      <c r="C19" s="527">
        <f>C11+C18</f>
        <v>11987</v>
      </c>
      <c r="D19" s="527">
        <f>D11+D18</f>
        <v>-1975</v>
      </c>
      <c r="E19" s="527">
        <f>E11+E18</f>
        <v>-12767</v>
      </c>
      <c r="F19" s="527">
        <f>F11+F18</f>
        <v>-2902</v>
      </c>
      <c r="G19" s="527">
        <f>G11+G18</f>
        <v>-3547</v>
      </c>
    </row>
    <row r="20" spans="2:8" ht="12.95" customHeight="1">
      <c r="B20" s="523" t="s">
        <v>427</v>
      </c>
      <c r="C20" s="523"/>
      <c r="D20" s="523"/>
      <c r="E20" s="524"/>
      <c r="F20" s="524"/>
      <c r="G20" s="524"/>
      <c r="H20" s="532"/>
    </row>
    <row r="21" spans="2:8" ht="12.95" customHeight="1">
      <c r="B21" s="528" t="s">
        <v>520</v>
      </c>
      <c r="C21" s="536">
        <v>92</v>
      </c>
      <c r="D21" s="536">
        <v>438</v>
      </c>
      <c r="E21" s="536">
        <v>447</v>
      </c>
      <c r="F21" s="536">
        <v>551</v>
      </c>
      <c r="G21" s="536">
        <v>1058</v>
      </c>
      <c r="H21" s="532"/>
    </row>
    <row r="22" spans="2:8" ht="12.95" customHeight="1">
      <c r="B22" s="528" t="s">
        <v>428</v>
      </c>
      <c r="C22" s="536">
        <v>-475</v>
      </c>
      <c r="D22" s="536">
        <v>-722</v>
      </c>
      <c r="E22" s="536">
        <v>-2156</v>
      </c>
      <c r="F22" s="536">
        <v>-2682</v>
      </c>
      <c r="G22" s="536">
        <v>-2533</v>
      </c>
    </row>
    <row r="23" spans="2:8" ht="12.95" customHeight="1">
      <c r="B23" s="529" t="s">
        <v>429</v>
      </c>
      <c r="C23" s="530">
        <f>SUM(C21:C22)</f>
        <v>-383</v>
      </c>
      <c r="D23" s="530">
        <f>SUM(D21:D22)</f>
        <v>-284</v>
      </c>
      <c r="E23" s="530">
        <f>SUM(E21:E22)</f>
        <v>-1709</v>
      </c>
      <c r="F23" s="530">
        <f>SUM(F21:F22)</f>
        <v>-2131</v>
      </c>
      <c r="G23" s="530">
        <f>SUM(G21:G22)</f>
        <v>-1475</v>
      </c>
    </row>
    <row r="24" spans="2:8" ht="12.95" customHeight="1">
      <c r="B24" s="526" t="s">
        <v>434</v>
      </c>
      <c r="C24" s="527">
        <f>C19+C23</f>
        <v>11604</v>
      </c>
      <c r="D24" s="527">
        <f>D19+D23</f>
        <v>-2259</v>
      </c>
      <c r="E24" s="527">
        <f>E19+E23</f>
        <v>-14476</v>
      </c>
      <c r="F24" s="527">
        <f>F19+F23</f>
        <v>-5033</v>
      </c>
      <c r="G24" s="527">
        <f>G19+G23</f>
        <v>-5022</v>
      </c>
    </row>
    <row r="25" spans="2:8" ht="12.95" customHeight="1">
      <c r="B25" s="523" t="s">
        <v>430</v>
      </c>
      <c r="C25" s="537">
        <v>-1144</v>
      </c>
      <c r="D25" s="537">
        <v>1623</v>
      </c>
      <c r="E25" s="536">
        <v>2535</v>
      </c>
      <c r="F25" s="536">
        <v>743</v>
      </c>
      <c r="G25" s="536">
        <v>-31</v>
      </c>
    </row>
    <row r="26" spans="2:8" ht="12.95" customHeight="1">
      <c r="B26" s="533" t="s">
        <v>321</v>
      </c>
      <c r="C26" s="534">
        <f t="shared" ref="C26:G26" si="3">SUM(C24:C25)</f>
        <v>10460</v>
      </c>
      <c r="D26" s="534">
        <f t="shared" si="3"/>
        <v>-636</v>
      </c>
      <c r="E26" s="534">
        <f t="shared" si="3"/>
        <v>-11941</v>
      </c>
      <c r="F26" s="534">
        <f t="shared" si="3"/>
        <v>-4290</v>
      </c>
      <c r="G26" s="534">
        <f t="shared" si="3"/>
        <v>-5053</v>
      </c>
    </row>
    <row r="27" spans="2:8" ht="12.95" customHeight="1">
      <c r="B27" s="523"/>
      <c r="C27" s="523"/>
      <c r="D27" s="523"/>
      <c r="E27" s="523"/>
      <c r="F27" s="523"/>
      <c r="G27" s="523"/>
    </row>
    <row r="28" spans="2:8" ht="12.95" customHeight="1">
      <c r="B28" s="539" t="s">
        <v>432</v>
      </c>
      <c r="C28" s="543">
        <v>18.05</v>
      </c>
      <c r="D28" s="543">
        <v>-1.1200000000000001</v>
      </c>
      <c r="E28" s="541">
        <v>-20.88</v>
      </c>
      <c r="F28" s="541">
        <v>-7.15</v>
      </c>
      <c r="G28" s="541">
        <v>-8.3000000000000007</v>
      </c>
    </row>
    <row r="29" spans="2:8" ht="12.95" customHeight="1">
      <c r="B29" s="539" t="s">
        <v>433</v>
      </c>
      <c r="C29" s="542">
        <v>579.20000000000005</v>
      </c>
      <c r="D29" s="542">
        <v>565.4</v>
      </c>
      <c r="E29" s="542">
        <v>568.6</v>
      </c>
      <c r="F29" s="542">
        <v>587.6</v>
      </c>
      <c r="G29" s="542">
        <v>594.9</v>
      </c>
    </row>
    <row r="31" spans="2:8" ht="12.95" customHeight="1">
      <c r="B31" s="523"/>
      <c r="C31" s="591"/>
      <c r="D31" s="591"/>
      <c r="E31" s="591"/>
      <c r="F31" s="591"/>
      <c r="G31" s="591"/>
    </row>
    <row r="32" spans="2:8" ht="12.95" customHeight="1">
      <c r="B32" s="523"/>
      <c r="D32" s="523"/>
      <c r="E32" s="523"/>
      <c r="F32" s="523"/>
      <c r="G32" s="523"/>
    </row>
    <row r="33" spans="2:7" ht="12.95" customHeight="1">
      <c r="B33" s="523"/>
      <c r="D33" s="523"/>
      <c r="E33" s="523"/>
      <c r="F33" s="523"/>
      <c r="G33" s="523"/>
    </row>
    <row r="34" spans="2:7" ht="12.95" customHeight="1">
      <c r="B34" s="587"/>
      <c r="D34" s="587"/>
      <c r="E34" s="523"/>
      <c r="F34" s="587"/>
      <c r="G34" s="587"/>
    </row>
    <row r="35" spans="2:7" ht="12.95" customHeight="1">
      <c r="B35" s="587"/>
      <c r="D35" s="587"/>
      <c r="E35" s="523"/>
      <c r="F35" s="587"/>
      <c r="G35" s="587"/>
    </row>
    <row r="36" spans="2:7" ht="12.95" customHeight="1">
      <c r="B36" s="523"/>
      <c r="D36" s="523"/>
      <c r="E36" s="523"/>
      <c r="F36" s="523"/>
      <c r="G36" s="523"/>
    </row>
  </sheetData>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lineWeight="1.5" displayEmptyCellsAs="gap" markers="1">
          <x14:colorSeries rgb="FF376092"/>
          <x14:colorNegative rgb="FFD00000"/>
          <x14:colorAxis rgb="FF000000"/>
          <x14:colorMarkers rgb="FF0039A6"/>
          <x14:colorFirst rgb="FFD00000"/>
          <x14:colorLast rgb="FFD00000"/>
          <x14:colorHigh rgb="FFD00000"/>
          <x14:colorLow rgb="FFD00000"/>
          <x14:sparklines>
            <x14:sparkline>
              <xm:f>'Income Statement'!C5:G5</xm:f>
              <xm:sqref>H5</xm:sqref>
            </x14:sparkline>
            <x14:sparkline>
              <xm:f>'Income Statement'!C6:G6</xm:f>
              <xm:sqref>H6</xm:sqref>
            </x14:sparkline>
            <x14:sparkline>
              <xm:f>'Income Statement'!C7:G7</xm:f>
              <xm:sqref>H7</xm:sqref>
            </x14:sparkline>
            <x14:sparkline>
              <xm:f>'Income Statement'!C8:G8</xm:f>
              <xm:sqref>H8</xm:sqref>
            </x14:sparkline>
            <x14:sparkline>
              <xm:f>'Income Statement'!C9:G9</xm:f>
              <xm:sqref>H9</xm:sqref>
            </x14:sparkline>
            <x14:sparkline>
              <xm:f>'Income Statement'!C10:G10</xm:f>
              <xm:sqref>H10</xm:sqref>
            </x14:sparkline>
            <x14:sparkline>
              <xm:f>'Income Statement'!C11:G11</xm:f>
              <xm:sqref>H11</xm:sqref>
            </x14:sparkline>
            <x14:sparkline>
              <xm:f>'Income Statement'!C12:G12</xm:f>
              <xm:sqref>H12</xm:sqref>
            </x14:sparkline>
            <x14:sparkline>
              <xm:f>'Income Statement'!C13:G13</xm:f>
              <xm:sqref>H13</xm:sqref>
            </x14:sparkline>
            <x14:sparkline>
              <xm:f>'Income Statement'!C14:G14</xm:f>
              <xm:sqref>H14</xm:sqref>
            </x14:sparkline>
            <x14:sparkline>
              <xm:f>'Income Statement'!C15:G15</xm:f>
              <xm:sqref>H15</xm:sqref>
            </x14:sparkline>
            <x14:sparkline>
              <xm:f>'Income Statement'!C16:G16</xm:f>
              <xm:sqref>H16</xm:sqref>
            </x14:sparkline>
            <x14:sparkline>
              <xm:f>'Income Statement'!C17:G17</xm:f>
              <xm:sqref>H17</xm:sqref>
            </x14:sparkline>
            <x14:sparkline>
              <xm:f>'Income Statement'!C18:G18</xm:f>
              <xm:sqref>H18</xm:sqref>
            </x14:sparkline>
            <x14:sparkline>
              <xm:f>'Income Statement'!C19:G19</xm:f>
              <xm:sqref>H19</xm:sqref>
            </x14:sparkline>
            <x14:sparkline>
              <xm:f>'Income Statement'!C20:G20</xm:f>
              <xm:sqref>H20</xm:sqref>
            </x14:sparkline>
            <x14:sparkline>
              <xm:f>'Income Statement'!C21:G21</xm:f>
              <xm:sqref>H21</xm:sqref>
            </x14:sparkline>
            <x14:sparkline>
              <xm:f>'Income Statement'!C22:G22</xm:f>
              <xm:sqref>H22</xm:sqref>
            </x14:sparkline>
            <x14:sparkline>
              <xm:f>'Income Statement'!C23:G23</xm:f>
              <xm:sqref>H23</xm:sqref>
            </x14:sparkline>
            <x14:sparkline>
              <xm:f>'Income Statement'!C24:G24</xm:f>
              <xm:sqref>H24</xm:sqref>
            </x14:sparkline>
            <x14:sparkline>
              <xm:f>'Income Statement'!C25:G25</xm:f>
              <xm:sqref>H25</xm:sqref>
            </x14:sparkline>
            <x14:sparkline>
              <xm:f>'Income Statement'!C26:G26</xm:f>
              <xm:sqref>H26</xm:sqref>
            </x14:sparkline>
            <x14:sparkline>
              <xm:f>'Income Statement'!C27:G27</xm:f>
              <xm:sqref>H27</xm:sqref>
            </x14:sparkline>
            <x14:sparkline>
              <xm:f>'Income Statement'!C28:G28</xm:f>
              <xm:sqref>H28</xm:sqref>
            </x14:sparkline>
            <x14:sparkline>
              <xm:f>'Income Statement'!C29:G29</xm:f>
              <xm:sqref>H29</xm:sqref>
            </x14:sparkline>
          </x14:sparklines>
        </x14:sparklineGroup>
      </x14:sparklineGroup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47"/>
  <sheetViews>
    <sheetView workbookViewId="0"/>
  </sheetViews>
  <sheetFormatPr defaultColWidth="9.140625" defaultRowHeight="12.95" customHeight="1"/>
  <cols>
    <col min="1" max="1" width="2" style="235" customWidth="1"/>
    <col min="2" max="2" width="35.140625" style="235" customWidth="1"/>
    <col min="3" max="8" width="11.7109375" style="235" customWidth="1"/>
    <col min="9" max="9" width="32.42578125" style="235" customWidth="1"/>
    <col min="10" max="13" width="11.7109375" style="235" customWidth="1"/>
    <col min="14" max="16384" width="9.140625" style="235"/>
  </cols>
  <sheetData>
    <row r="1" spans="2:7" ht="16.5" customHeight="1">
      <c r="B1" s="234" t="s">
        <v>435</v>
      </c>
    </row>
    <row r="3" spans="2:7" ht="12.95" customHeight="1">
      <c r="B3" s="247" t="s">
        <v>435</v>
      </c>
      <c r="C3" s="247"/>
      <c r="D3" s="247"/>
      <c r="E3" s="247"/>
      <c r="F3" s="247"/>
      <c r="G3" s="247"/>
    </row>
    <row r="4" spans="2:7" ht="12.95" customHeight="1" thickBot="1">
      <c r="B4" s="349" t="str">
        <f>Drivers!$C$5&amp;" in mil"</f>
        <v>$ in mil</v>
      </c>
      <c r="C4" s="547">
        <v>43465</v>
      </c>
      <c r="D4" s="547">
        <f>EDATE(C4,12)</f>
        <v>43830</v>
      </c>
      <c r="E4" s="547">
        <f t="shared" ref="E4:G4" si="0">EDATE(D4,12)</f>
        <v>44196</v>
      </c>
      <c r="F4" s="547">
        <f t="shared" si="0"/>
        <v>44561</v>
      </c>
      <c r="G4" s="547">
        <f t="shared" si="0"/>
        <v>44926</v>
      </c>
    </row>
    <row r="5" spans="2:7" ht="12.95" customHeight="1">
      <c r="B5" s="523" t="s">
        <v>436</v>
      </c>
      <c r="C5" s="605"/>
      <c r="D5" s="536"/>
      <c r="E5" s="536"/>
      <c r="F5" s="523" t="s">
        <v>422</v>
      </c>
      <c r="G5" s="536"/>
    </row>
    <row r="6" spans="2:7" ht="12.95" customHeight="1">
      <c r="B6" s="528" t="s">
        <v>85</v>
      </c>
      <c r="C6" s="536">
        <v>7637</v>
      </c>
      <c r="D6" s="536">
        <v>9485</v>
      </c>
      <c r="E6" s="536">
        <v>7752</v>
      </c>
      <c r="F6" s="536">
        <v>8052</v>
      </c>
      <c r="G6" s="536">
        <v>14614</v>
      </c>
    </row>
    <row r="7" spans="2:7" ht="12.95" customHeight="1">
      <c r="B7" s="528" t="s">
        <v>437</v>
      </c>
      <c r="C7" s="536">
        <v>927</v>
      </c>
      <c r="D7" s="536">
        <v>545</v>
      </c>
      <c r="E7" s="536">
        <v>17838</v>
      </c>
      <c r="F7" s="536">
        <v>8192</v>
      </c>
      <c r="G7" s="536">
        <v>2606</v>
      </c>
    </row>
    <row r="8" spans="2:7" ht="12.95" customHeight="1">
      <c r="B8" s="528" t="s">
        <v>438</v>
      </c>
      <c r="C8" s="536">
        <v>3879</v>
      </c>
      <c r="D8" s="536">
        <v>3266</v>
      </c>
      <c r="E8" s="536">
        <v>1955</v>
      </c>
      <c r="F8" s="536">
        <v>2641</v>
      </c>
      <c r="G8" s="536">
        <v>2517</v>
      </c>
    </row>
    <row r="9" spans="2:7" ht="12.95" customHeight="1">
      <c r="B9" s="528" t="s">
        <v>694</v>
      </c>
      <c r="C9" s="536">
        <v>10025</v>
      </c>
      <c r="D9" s="536">
        <v>9043</v>
      </c>
      <c r="E9" s="536">
        <v>7995</v>
      </c>
      <c r="F9" s="536">
        <v>8620</v>
      </c>
      <c r="G9" s="536">
        <v>8634</v>
      </c>
    </row>
    <row r="10" spans="2:7" ht="12.95" customHeight="1">
      <c r="B10" s="528" t="s">
        <v>695</v>
      </c>
      <c r="C10" s="536">
        <v>460</v>
      </c>
      <c r="D10" s="536">
        <v>162</v>
      </c>
      <c r="E10" s="536">
        <v>101</v>
      </c>
      <c r="F10" s="536">
        <v>117</v>
      </c>
      <c r="G10" s="536">
        <v>154</v>
      </c>
    </row>
    <row r="11" spans="2:7" ht="12.95" customHeight="1">
      <c r="B11" s="528" t="s">
        <v>696</v>
      </c>
      <c r="C11" s="536">
        <v>62567</v>
      </c>
      <c r="D11" s="536">
        <v>76622</v>
      </c>
      <c r="E11" s="536">
        <v>81715</v>
      </c>
      <c r="F11" s="536">
        <v>78823</v>
      </c>
      <c r="G11" s="536">
        <v>78151</v>
      </c>
    </row>
    <row r="12" spans="2:7" ht="12.95" customHeight="1">
      <c r="B12" s="528" t="s">
        <v>697</v>
      </c>
      <c r="C12" s="536">
        <v>2335</v>
      </c>
      <c r="D12" s="536">
        <v>3106</v>
      </c>
      <c r="E12" s="536">
        <v>4286</v>
      </c>
      <c r="F12" s="536">
        <v>2221</v>
      </c>
      <c r="G12" s="536">
        <v>2847</v>
      </c>
    </row>
    <row r="13" spans="2:7" ht="12.95" customHeight="1">
      <c r="B13" s="533" t="s">
        <v>439</v>
      </c>
      <c r="C13" s="534">
        <f>SUM(C6:C12)</f>
        <v>87830</v>
      </c>
      <c r="D13" s="534">
        <f>SUM(D6:D12)</f>
        <v>102229</v>
      </c>
      <c r="E13" s="534">
        <f>SUM(E6:E12)</f>
        <v>121642</v>
      </c>
      <c r="F13" s="534">
        <f>SUM(F6:F12)</f>
        <v>108666</v>
      </c>
      <c r="G13" s="534">
        <f>SUM(G6:G12)</f>
        <v>109523</v>
      </c>
    </row>
    <row r="14" spans="2:7" ht="12.95" customHeight="1">
      <c r="B14" s="528" t="s">
        <v>698</v>
      </c>
      <c r="C14" s="536">
        <v>2418</v>
      </c>
      <c r="D14" s="536">
        <v>2136</v>
      </c>
      <c r="E14" s="536">
        <v>1936</v>
      </c>
      <c r="F14" s="536">
        <v>1695</v>
      </c>
      <c r="G14" s="536">
        <v>1450</v>
      </c>
    </row>
    <row r="15" spans="2:7" ht="12.95" customHeight="1">
      <c r="B15" s="528" t="s">
        <v>440</v>
      </c>
      <c r="C15" s="536">
        <v>12645</v>
      </c>
      <c r="D15" s="536">
        <v>12502</v>
      </c>
      <c r="E15" s="536">
        <v>11820</v>
      </c>
      <c r="F15" s="536">
        <v>10918</v>
      </c>
      <c r="G15" s="536">
        <v>10550</v>
      </c>
    </row>
    <row r="16" spans="2:7" ht="12.95" customHeight="1">
      <c r="B16" s="528" t="s">
        <v>339</v>
      </c>
      <c r="C16" s="536">
        <v>7840</v>
      </c>
      <c r="D16" s="536">
        <v>8060</v>
      </c>
      <c r="E16" s="536">
        <v>8081</v>
      </c>
      <c r="F16" s="536">
        <v>8068</v>
      </c>
      <c r="G16" s="536">
        <v>8057</v>
      </c>
    </row>
    <row r="17" spans="2:8" ht="12.95" customHeight="1">
      <c r="B17" s="528" t="s">
        <v>340</v>
      </c>
      <c r="C17" s="536">
        <v>3429</v>
      </c>
      <c r="D17" s="536">
        <v>3338</v>
      </c>
      <c r="E17" s="536">
        <v>2843</v>
      </c>
      <c r="F17" s="536">
        <v>2562</v>
      </c>
      <c r="G17" s="536">
        <v>2311</v>
      </c>
    </row>
    <row r="18" spans="2:8" ht="12.95" customHeight="1">
      <c r="B18" s="528" t="s">
        <v>441</v>
      </c>
      <c r="C18" s="536">
        <v>284</v>
      </c>
      <c r="D18" s="536">
        <v>683</v>
      </c>
      <c r="E18" s="536">
        <v>86</v>
      </c>
      <c r="F18" s="536">
        <v>77</v>
      </c>
      <c r="G18" s="536">
        <v>63</v>
      </c>
    </row>
    <row r="19" spans="2:8" ht="12.95" customHeight="1">
      <c r="B19" s="528" t="s">
        <v>442</v>
      </c>
      <c r="C19" s="536">
        <v>1087</v>
      </c>
      <c r="D19" s="536">
        <v>1092</v>
      </c>
      <c r="E19" s="536">
        <v>1016</v>
      </c>
      <c r="F19" s="536">
        <v>975</v>
      </c>
      <c r="G19" s="536">
        <v>983</v>
      </c>
    </row>
    <row r="20" spans="2:8" ht="12.95" customHeight="1">
      <c r="B20" s="528" t="s">
        <v>443</v>
      </c>
      <c r="C20" s="536">
        <v>1826</v>
      </c>
      <c r="D20" s="536">
        <v>3585</v>
      </c>
      <c r="E20" s="536">
        <v>4712</v>
      </c>
      <c r="F20" s="536">
        <v>5591</v>
      </c>
      <c r="G20" s="536">
        <v>4163</v>
      </c>
      <c r="H20" s="532"/>
    </row>
    <row r="21" spans="2:8" ht="12.95" customHeight="1">
      <c r="B21" s="533" t="s">
        <v>444</v>
      </c>
      <c r="C21" s="534">
        <f>SUM(C14:C20)+C13</f>
        <v>117359</v>
      </c>
      <c r="D21" s="534">
        <f>SUM(D14:D20)+D13</f>
        <v>133625</v>
      </c>
      <c r="E21" s="534">
        <f>SUM(E14:E20)+E13</f>
        <v>152136</v>
      </c>
      <c r="F21" s="534">
        <f>SUM(F14:F20)+F13</f>
        <v>138552</v>
      </c>
      <c r="G21" s="534">
        <f>SUM(G14:G20)+G13</f>
        <v>137100</v>
      </c>
      <c r="H21" s="532"/>
    </row>
    <row r="22" spans="2:8" ht="12.95" customHeight="1">
      <c r="B22" s="523" t="s">
        <v>445</v>
      </c>
      <c r="C22" s="536"/>
      <c r="D22" s="536"/>
      <c r="E22" s="536"/>
      <c r="F22" s="536" t="s">
        <v>422</v>
      </c>
      <c r="G22" s="536" t="s">
        <v>422</v>
      </c>
    </row>
    <row r="23" spans="2:8" ht="12.95" customHeight="1">
      <c r="B23" s="528" t="s">
        <v>446</v>
      </c>
      <c r="C23" s="536">
        <v>12916</v>
      </c>
      <c r="D23" s="536">
        <v>15553</v>
      </c>
      <c r="E23" s="536">
        <v>12928</v>
      </c>
      <c r="F23" s="536">
        <v>9261</v>
      </c>
      <c r="G23" s="536">
        <v>10200</v>
      </c>
    </row>
    <row r="24" spans="2:8" ht="12.95" customHeight="1">
      <c r="B24" s="528" t="s">
        <v>447</v>
      </c>
      <c r="C24" s="536">
        <v>14808</v>
      </c>
      <c r="D24" s="536">
        <v>22868</v>
      </c>
      <c r="E24" s="536">
        <v>22171</v>
      </c>
      <c r="F24" s="536">
        <v>18455</v>
      </c>
      <c r="G24" s="536">
        <v>21581</v>
      </c>
    </row>
    <row r="25" spans="2:8" ht="12.95" customHeight="1">
      <c r="B25" s="528" t="s">
        <v>700</v>
      </c>
      <c r="C25" s="536">
        <v>50676</v>
      </c>
      <c r="D25" s="536">
        <v>51551</v>
      </c>
      <c r="E25" s="536">
        <v>50488</v>
      </c>
      <c r="F25" s="536">
        <v>52980</v>
      </c>
      <c r="G25" s="536">
        <v>53081</v>
      </c>
    </row>
    <row r="26" spans="2:8" ht="12.95" customHeight="1">
      <c r="B26" s="528" t="s">
        <v>685</v>
      </c>
      <c r="C26" s="536">
        <v>3190</v>
      </c>
      <c r="D26" s="536">
        <v>7340</v>
      </c>
      <c r="E26" s="536">
        <v>1693</v>
      </c>
      <c r="F26" s="536">
        <v>1296</v>
      </c>
      <c r="G26" s="378">
        <v>5190</v>
      </c>
    </row>
    <row r="27" spans="2:8" ht="12.95" customHeight="1">
      <c r="B27" s="533" t="s">
        <v>448</v>
      </c>
      <c r="C27" s="534">
        <f>SUM(C23:C26)</f>
        <v>81590</v>
      </c>
      <c r="D27" s="534">
        <f>SUM(D23:D26)</f>
        <v>97312</v>
      </c>
      <c r="E27" s="534">
        <f>SUM(E23:E26)</f>
        <v>87280</v>
      </c>
      <c r="F27" s="534">
        <f>SUM(F23:F26)</f>
        <v>81992</v>
      </c>
      <c r="G27" s="534">
        <f>SUM(G23:G26)</f>
        <v>90052</v>
      </c>
    </row>
    <row r="28" spans="2:8" ht="12.95" customHeight="1">
      <c r="B28" s="528" t="s">
        <v>701</v>
      </c>
      <c r="C28" s="536">
        <v>4584</v>
      </c>
      <c r="D28" s="536">
        <v>4540</v>
      </c>
      <c r="E28" s="536">
        <v>4137</v>
      </c>
      <c r="F28" s="536">
        <v>3528</v>
      </c>
      <c r="G28" s="536">
        <v>2503</v>
      </c>
    </row>
    <row r="29" spans="2:8" ht="12.95" customHeight="1">
      <c r="B29" s="528" t="s">
        <v>449</v>
      </c>
      <c r="C29" s="536">
        <v>1736</v>
      </c>
      <c r="D29" s="536">
        <v>413</v>
      </c>
      <c r="E29" s="536">
        <v>1010</v>
      </c>
      <c r="F29" s="536">
        <v>218</v>
      </c>
      <c r="G29" s="536">
        <v>230</v>
      </c>
    </row>
    <row r="30" spans="2:8" ht="12.95" customHeight="1">
      <c r="B30" s="528" t="s">
        <v>702</v>
      </c>
      <c r="C30" s="536">
        <v>15323</v>
      </c>
      <c r="D30" s="536">
        <v>16276</v>
      </c>
      <c r="E30" s="536">
        <v>14408</v>
      </c>
      <c r="F30" s="536">
        <v>9104</v>
      </c>
      <c r="G30" s="536">
        <v>6141</v>
      </c>
    </row>
    <row r="31" spans="2:8" ht="12.95" customHeight="1">
      <c r="B31" s="528" t="s">
        <v>332</v>
      </c>
      <c r="C31" s="536">
        <v>10657</v>
      </c>
      <c r="D31" s="536">
        <v>19962</v>
      </c>
      <c r="E31" s="536">
        <v>61890</v>
      </c>
      <c r="F31" s="536">
        <v>56806</v>
      </c>
      <c r="G31" s="536">
        <v>51811</v>
      </c>
    </row>
    <row r="32" spans="2:8" ht="12.95" customHeight="1">
      <c r="B32" s="528" t="s">
        <v>450</v>
      </c>
      <c r="C32" s="536">
        <v>3059</v>
      </c>
      <c r="D32" s="536">
        <v>3422</v>
      </c>
      <c r="E32" s="536">
        <v>1486</v>
      </c>
      <c r="F32" s="536">
        <v>1750</v>
      </c>
      <c r="G32" s="536">
        <v>2211</v>
      </c>
    </row>
    <row r="33" spans="2:7" ht="12.95" customHeight="1">
      <c r="B33" s="533" t="s">
        <v>451</v>
      </c>
      <c r="C33" s="534">
        <f>SUM(C28:C32)+C27</f>
        <v>116949</v>
      </c>
      <c r="D33" s="534">
        <f>SUM(D28:D32)+D27</f>
        <v>141925</v>
      </c>
      <c r="E33" s="534">
        <f>SUM(E28:E32)+E27</f>
        <v>170211</v>
      </c>
      <c r="F33" s="534">
        <f>SUM(F28:F32)+F27</f>
        <v>153398</v>
      </c>
      <c r="G33" s="534">
        <f>SUM(G28:G32)+G27</f>
        <v>152948</v>
      </c>
    </row>
    <row r="34" spans="2:7" ht="12.95" customHeight="1">
      <c r="B34" s="523" t="s">
        <v>462</v>
      </c>
      <c r="C34" s="536"/>
      <c r="D34" s="536"/>
      <c r="E34" s="536"/>
      <c r="F34" s="536"/>
      <c r="G34" s="536"/>
    </row>
    <row r="35" spans="2:7" ht="12.95" customHeight="1">
      <c r="B35" s="523" t="s">
        <v>452</v>
      </c>
      <c r="C35" s="536"/>
      <c r="D35" s="536"/>
      <c r="E35" s="536"/>
      <c r="F35" s="536" t="s">
        <v>422</v>
      </c>
      <c r="G35" s="536" t="s">
        <v>422</v>
      </c>
    </row>
    <row r="36" spans="2:7" ht="12.95" customHeight="1">
      <c r="B36" s="528" t="s">
        <v>456</v>
      </c>
      <c r="C36" s="536">
        <v>5061</v>
      </c>
      <c r="D36" s="536">
        <v>5061</v>
      </c>
      <c r="E36" s="536">
        <v>5061</v>
      </c>
      <c r="F36" s="536">
        <v>5061</v>
      </c>
      <c r="G36" s="536">
        <v>5061</v>
      </c>
    </row>
    <row r="37" spans="2:7" ht="12.95" customHeight="1">
      <c r="B37" s="528" t="s">
        <v>457</v>
      </c>
      <c r="C37" s="536">
        <v>0</v>
      </c>
      <c r="D37" s="536">
        <v>0</v>
      </c>
      <c r="E37" s="536">
        <v>0</v>
      </c>
      <c r="F37" s="536">
        <v>0</v>
      </c>
      <c r="G37" s="536">
        <v>0</v>
      </c>
    </row>
    <row r="38" spans="2:7" ht="12.95" customHeight="1">
      <c r="B38" s="528" t="s">
        <v>453</v>
      </c>
      <c r="C38" s="536">
        <v>6768</v>
      </c>
      <c r="D38" s="536">
        <v>6745</v>
      </c>
      <c r="E38" s="536">
        <v>7787</v>
      </c>
      <c r="F38" s="536">
        <v>9052</v>
      </c>
      <c r="G38" s="536">
        <v>9947</v>
      </c>
    </row>
    <row r="39" spans="2:7" ht="12.95" customHeight="1">
      <c r="B39" s="528" t="s">
        <v>704</v>
      </c>
      <c r="C39" s="536">
        <v>-52348</v>
      </c>
      <c r="D39" s="536">
        <v>-54914</v>
      </c>
      <c r="E39" s="536">
        <v>-52641</v>
      </c>
      <c r="F39" s="536">
        <v>-51861</v>
      </c>
      <c r="G39" s="536">
        <v>-50814</v>
      </c>
    </row>
    <row r="40" spans="2:7" ht="12.95" customHeight="1">
      <c r="B40" s="528" t="s">
        <v>454</v>
      </c>
      <c r="C40" s="536">
        <v>55941</v>
      </c>
      <c r="D40" s="536">
        <v>50644</v>
      </c>
      <c r="E40" s="536">
        <v>38610</v>
      </c>
      <c r="F40" s="536">
        <v>34408</v>
      </c>
      <c r="G40" s="536">
        <v>29473</v>
      </c>
    </row>
    <row r="41" spans="2:7" ht="12.95" customHeight="1">
      <c r="B41" s="528" t="s">
        <v>455</v>
      </c>
      <c r="C41" s="536">
        <v>-15083</v>
      </c>
      <c r="D41" s="536">
        <v>-16153</v>
      </c>
      <c r="E41" s="536">
        <v>-17133</v>
      </c>
      <c r="F41" s="536">
        <v>-11659</v>
      </c>
      <c r="G41" s="536">
        <v>-9550</v>
      </c>
    </row>
    <row r="42" spans="2:7" ht="12.95" customHeight="1">
      <c r="B42" s="526" t="s">
        <v>706</v>
      </c>
      <c r="C42" s="527">
        <f>SUM(C36:C41)</f>
        <v>339</v>
      </c>
      <c r="D42" s="527">
        <f>SUM(D36:D41)</f>
        <v>-8617</v>
      </c>
      <c r="E42" s="527">
        <f>SUM(E36:E41)</f>
        <v>-18316</v>
      </c>
      <c r="F42" s="527">
        <f>SUM(F36:F41)</f>
        <v>-14999</v>
      </c>
      <c r="G42" s="527">
        <f>SUM(G36:G41)</f>
        <v>-15883</v>
      </c>
    </row>
    <row r="43" spans="2:7" ht="12.95" customHeight="1">
      <c r="B43" s="528" t="s">
        <v>705</v>
      </c>
      <c r="C43" s="536">
        <v>71</v>
      </c>
      <c r="D43" s="536">
        <v>317</v>
      </c>
      <c r="E43" s="536">
        <v>241</v>
      </c>
      <c r="F43" s="536">
        <v>153</v>
      </c>
      <c r="G43" s="536">
        <v>35</v>
      </c>
    </row>
    <row r="44" spans="2:7" ht="12.95" customHeight="1">
      <c r="B44" s="533" t="s">
        <v>458</v>
      </c>
      <c r="C44" s="606">
        <f>SUM(C42:C43)</f>
        <v>410</v>
      </c>
      <c r="D44" s="606">
        <f>SUM(D42:D43)</f>
        <v>-8300</v>
      </c>
      <c r="E44" s="606">
        <f>SUM(E42:E43)</f>
        <v>-18075</v>
      </c>
      <c r="F44" s="606">
        <f>SUM(F42:F43)</f>
        <v>-14846</v>
      </c>
      <c r="G44" s="606">
        <f>SUM(G42:G43)</f>
        <v>-15848</v>
      </c>
    </row>
    <row r="45" spans="2:7" ht="12.95" customHeight="1">
      <c r="B45" s="533" t="s">
        <v>459</v>
      </c>
      <c r="C45" s="534">
        <f>C33+C44</f>
        <v>117359</v>
      </c>
      <c r="D45" s="534">
        <f>D33+D44</f>
        <v>133625</v>
      </c>
      <c r="E45" s="534">
        <f>E33+E44</f>
        <v>152136</v>
      </c>
      <c r="F45" s="534">
        <f>F33+F44</f>
        <v>138552</v>
      </c>
      <c r="G45" s="534">
        <f>G33+G44</f>
        <v>137100</v>
      </c>
    </row>
    <row r="46" spans="2:7" ht="12.95" customHeight="1">
      <c r="C46" s="522"/>
    </row>
    <row r="47" spans="2:7" ht="12.95" customHeight="1">
      <c r="B47" s="544" t="s">
        <v>460</v>
      </c>
      <c r="C47" s="545">
        <f>C45-C21</f>
        <v>0</v>
      </c>
      <c r="D47" s="546">
        <f>D45-D21</f>
        <v>0</v>
      </c>
      <c r="E47" s="546">
        <f>E45-E21</f>
        <v>0</v>
      </c>
      <c r="F47" s="546">
        <f>F45-F21</f>
        <v>0</v>
      </c>
      <c r="G47" s="546">
        <f>G45-G21</f>
        <v>0</v>
      </c>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K68"/>
  <sheetViews>
    <sheetView workbookViewId="0"/>
  </sheetViews>
  <sheetFormatPr defaultColWidth="9.140625" defaultRowHeight="12.95" customHeight="1"/>
  <cols>
    <col min="1" max="1" width="2" style="235" customWidth="1"/>
    <col min="2" max="2" width="35.140625" style="235" customWidth="1"/>
    <col min="3" max="8" width="11.7109375" style="235" customWidth="1"/>
    <col min="9" max="9" width="33.140625" style="235" customWidth="1"/>
    <col min="10" max="11" width="12.5703125" style="235" bestFit="1" customWidth="1"/>
    <col min="12" max="16384" width="9.140625" style="235"/>
  </cols>
  <sheetData>
    <row r="1" spans="2:7" ht="16.5" customHeight="1">
      <c r="B1" s="234" t="s">
        <v>463</v>
      </c>
    </row>
    <row r="3" spans="2:7" ht="12.95" customHeight="1">
      <c r="B3" s="247" t="s">
        <v>463</v>
      </c>
      <c r="C3" s="247"/>
      <c r="D3" s="247"/>
      <c r="E3" s="247"/>
      <c r="F3" s="247"/>
      <c r="G3" s="247"/>
    </row>
    <row r="4" spans="2:7" ht="12.95" customHeight="1" thickBot="1">
      <c r="B4" s="349" t="str">
        <f>Drivers!$C$5&amp;" in mil"</f>
        <v>$ in mil</v>
      </c>
      <c r="C4" s="547">
        <v>43465</v>
      </c>
      <c r="D4" s="547">
        <f>EDATE(C4,12)</f>
        <v>43830</v>
      </c>
      <c r="E4" s="547">
        <f t="shared" ref="E4:G4" si="0">EDATE(D4,12)</f>
        <v>44196</v>
      </c>
      <c r="F4" s="547">
        <f t="shared" si="0"/>
        <v>44561</v>
      </c>
      <c r="G4" s="547">
        <f t="shared" si="0"/>
        <v>44926</v>
      </c>
    </row>
    <row r="5" spans="2:7" ht="12.95" customHeight="1">
      <c r="B5" s="540" t="s">
        <v>464</v>
      </c>
      <c r="C5" s="523"/>
      <c r="D5" s="523"/>
      <c r="E5" s="523"/>
      <c r="F5" s="523"/>
      <c r="G5" s="523"/>
    </row>
    <row r="6" spans="2:7" ht="12.95" customHeight="1">
      <c r="B6" s="525" t="s">
        <v>431</v>
      </c>
      <c r="C6" s="549">
        <v>10460</v>
      </c>
      <c r="D6" s="549">
        <f>'Income Statement'!D26</f>
        <v>-636</v>
      </c>
      <c r="E6" s="549">
        <f>'Income Statement'!E26</f>
        <v>-11941</v>
      </c>
      <c r="F6" s="549">
        <f>'Income Statement'!F26</f>
        <v>-4290</v>
      </c>
      <c r="G6" s="549">
        <f>'Income Statement'!G26</f>
        <v>-5053</v>
      </c>
    </row>
    <row r="7" spans="2:7" ht="12.95" customHeight="1">
      <c r="B7" s="540" t="s">
        <v>470</v>
      </c>
      <c r="C7" s="550"/>
      <c r="D7" s="550"/>
      <c r="E7" s="550"/>
      <c r="F7" s="550"/>
      <c r="G7" s="550"/>
    </row>
    <row r="8" spans="2:7" ht="12.95" customHeight="1">
      <c r="B8" s="528" t="s">
        <v>710</v>
      </c>
      <c r="C8" s="550">
        <v>202</v>
      </c>
      <c r="D8" s="550">
        <v>212</v>
      </c>
      <c r="E8" s="550">
        <v>250</v>
      </c>
      <c r="F8" s="550">
        <v>833</v>
      </c>
      <c r="G8" s="550">
        <v>725</v>
      </c>
    </row>
    <row r="9" spans="2:7" ht="12.95" customHeight="1">
      <c r="B9" s="528" t="s">
        <v>734</v>
      </c>
      <c r="C9" s="550">
        <v>0</v>
      </c>
      <c r="D9" s="550">
        <v>0</v>
      </c>
      <c r="E9" s="550">
        <v>195</v>
      </c>
      <c r="F9" s="550">
        <v>1233</v>
      </c>
      <c r="G9" s="550">
        <v>1215</v>
      </c>
    </row>
    <row r="10" spans="2:7" ht="12.95" customHeight="1">
      <c r="B10" s="528" t="s">
        <v>711</v>
      </c>
      <c r="C10" s="550">
        <v>2114</v>
      </c>
      <c r="D10" s="550">
        <v>2271</v>
      </c>
      <c r="E10" s="550">
        <v>2246</v>
      </c>
      <c r="F10" s="550">
        <v>2144</v>
      </c>
      <c r="G10" s="550">
        <v>1979</v>
      </c>
    </row>
    <row r="11" spans="2:7" ht="12.95" customHeight="1">
      <c r="B11" s="528" t="s">
        <v>712</v>
      </c>
      <c r="C11" s="550">
        <v>93</v>
      </c>
      <c r="D11" s="550">
        <v>443</v>
      </c>
      <c r="E11" s="550">
        <v>410</v>
      </c>
      <c r="F11" s="550">
        <v>98</v>
      </c>
      <c r="G11" s="550">
        <v>112</v>
      </c>
    </row>
    <row r="12" spans="2:7" ht="12.95" customHeight="1">
      <c r="B12" s="528" t="s">
        <v>713</v>
      </c>
      <c r="C12" s="550">
        <v>-3</v>
      </c>
      <c r="D12" s="550">
        <v>250</v>
      </c>
      <c r="E12" s="551">
        <v>12</v>
      </c>
      <c r="F12" s="550">
        <v>0</v>
      </c>
      <c r="G12" s="550">
        <v>37</v>
      </c>
    </row>
    <row r="13" spans="2:7" ht="12.95" customHeight="1">
      <c r="B13" s="528" t="s">
        <v>519</v>
      </c>
      <c r="C13" s="550">
        <v>-75</v>
      </c>
      <c r="D13" s="550">
        <v>-691</v>
      </c>
      <c r="E13" s="550">
        <v>-202</v>
      </c>
      <c r="F13" s="550">
        <v>-277</v>
      </c>
      <c r="G13" s="550">
        <v>-6</v>
      </c>
    </row>
    <row r="14" spans="2:7" ht="12.95" customHeight="1">
      <c r="B14" s="528" t="s">
        <v>714</v>
      </c>
      <c r="C14" s="550">
        <v>190</v>
      </c>
      <c r="D14" s="550">
        <v>111</v>
      </c>
      <c r="E14" s="550">
        <v>6493</v>
      </c>
      <c r="F14" s="550">
        <v>3460</v>
      </c>
      <c r="G14" s="550">
        <v>0</v>
      </c>
    </row>
    <row r="15" spans="2:7" ht="12.95" customHeight="1">
      <c r="B15" s="528" t="s">
        <v>715</v>
      </c>
      <c r="C15" s="550">
        <v>247</v>
      </c>
      <c r="D15" s="550">
        <v>334</v>
      </c>
      <c r="E15" s="551">
        <v>1462</v>
      </c>
      <c r="F15" s="551">
        <v>360</v>
      </c>
      <c r="G15" s="550">
        <v>364</v>
      </c>
    </row>
    <row r="16" spans="2:7" ht="12.95" customHeight="1">
      <c r="B16" s="540" t="s">
        <v>471</v>
      </c>
      <c r="C16" s="550"/>
      <c r="D16" s="550"/>
      <c r="E16" s="550" t="s">
        <v>422</v>
      </c>
      <c r="F16" s="550" t="s">
        <v>422</v>
      </c>
      <c r="G16" s="555" t="s">
        <v>422</v>
      </c>
    </row>
    <row r="17" spans="2:9" ht="12.95" customHeight="1">
      <c r="B17" s="528" t="s">
        <v>465</v>
      </c>
      <c r="C17" s="550">
        <v>-795</v>
      </c>
      <c r="D17" s="550">
        <v>603</v>
      </c>
      <c r="E17" s="550">
        <v>909</v>
      </c>
      <c r="F17" s="550">
        <v>-713</v>
      </c>
      <c r="G17" s="550">
        <v>142</v>
      </c>
    </row>
    <row r="18" spans="2:9" ht="12.95" customHeight="1">
      <c r="B18" s="528" t="s">
        <v>716</v>
      </c>
      <c r="C18" s="550">
        <v>-1826</v>
      </c>
      <c r="D18" s="550">
        <v>982</v>
      </c>
      <c r="E18" s="550">
        <v>919</v>
      </c>
      <c r="F18" s="550">
        <v>-586</v>
      </c>
      <c r="G18" s="550">
        <v>6</v>
      </c>
      <c r="I18" s="523"/>
    </row>
    <row r="19" spans="2:9" ht="12.95" customHeight="1">
      <c r="B19" s="528" t="s">
        <v>700</v>
      </c>
      <c r="C19" s="550">
        <v>2636</v>
      </c>
      <c r="D19" s="550">
        <v>737</v>
      </c>
      <c r="E19" s="550">
        <v>-1060</v>
      </c>
      <c r="F19" s="550">
        <v>2505</v>
      </c>
      <c r="G19" s="550">
        <v>108</v>
      </c>
      <c r="I19" s="523"/>
    </row>
    <row r="20" spans="2:9" ht="12.95" customHeight="1">
      <c r="B20" s="528" t="s">
        <v>696</v>
      </c>
      <c r="C20" s="550">
        <v>568</v>
      </c>
      <c r="D20" s="550">
        <v>-12391</v>
      </c>
      <c r="E20" s="550">
        <v>-11002</v>
      </c>
      <c r="F20" s="550">
        <v>-1127</v>
      </c>
      <c r="G20" s="550">
        <v>420</v>
      </c>
      <c r="H20" s="532"/>
    </row>
    <row r="21" spans="2:9" ht="12.95" customHeight="1">
      <c r="B21" s="528" t="s">
        <v>707</v>
      </c>
      <c r="C21" s="550">
        <v>98</v>
      </c>
      <c r="D21" s="550">
        <v>-682</v>
      </c>
      <c r="E21" s="550">
        <v>372</v>
      </c>
      <c r="F21" s="550">
        <v>345</v>
      </c>
      <c r="G21" s="550">
        <v>-591</v>
      </c>
      <c r="H21" s="532"/>
    </row>
    <row r="22" spans="2:9" ht="12.95" customHeight="1">
      <c r="B22" s="528" t="s">
        <v>446</v>
      </c>
      <c r="C22" s="550">
        <v>2</v>
      </c>
      <c r="D22" s="550">
        <v>1600</v>
      </c>
      <c r="E22" s="550">
        <v>-5363</v>
      </c>
      <c r="F22" s="550">
        <v>-3783</v>
      </c>
      <c r="G22" s="550">
        <v>838</v>
      </c>
    </row>
    <row r="23" spans="2:9" ht="12.95" customHeight="1">
      <c r="B23" s="528" t="s">
        <v>699</v>
      </c>
      <c r="C23" s="550">
        <v>1117</v>
      </c>
      <c r="D23" s="550">
        <v>7781</v>
      </c>
      <c r="E23" s="550">
        <v>1074</v>
      </c>
      <c r="F23" s="550">
        <v>-3687</v>
      </c>
      <c r="G23" s="550">
        <v>2956</v>
      </c>
    </row>
    <row r="24" spans="2:9" ht="12.95" customHeight="1">
      <c r="B24" s="528" t="s">
        <v>717</v>
      </c>
      <c r="C24" s="550">
        <v>-180</v>
      </c>
      <c r="D24" s="550">
        <v>-2476</v>
      </c>
      <c r="E24" s="550">
        <v>-2576</v>
      </c>
      <c r="F24" s="550">
        <v>733</v>
      </c>
      <c r="G24" s="550">
        <v>1347</v>
      </c>
    </row>
    <row r="25" spans="2:9" ht="12.95" customHeight="1">
      <c r="B25" s="528" t="s">
        <v>703</v>
      </c>
      <c r="C25" s="550">
        <v>87</v>
      </c>
      <c r="D25" s="550">
        <v>-621</v>
      </c>
      <c r="E25" s="550">
        <v>-222</v>
      </c>
      <c r="F25" s="550">
        <v>-206</v>
      </c>
      <c r="G25" s="550">
        <v>-158</v>
      </c>
    </row>
    <row r="26" spans="2:9" ht="12.95" customHeight="1">
      <c r="B26" s="528" t="s">
        <v>718</v>
      </c>
      <c r="C26" s="550">
        <v>-153</v>
      </c>
      <c r="D26" s="550">
        <v>-777</v>
      </c>
      <c r="E26" s="550">
        <v>-794</v>
      </c>
      <c r="F26" s="550">
        <v>-972</v>
      </c>
      <c r="G26" s="550">
        <v>-1378</v>
      </c>
    </row>
    <row r="27" spans="2:9" ht="12.95" customHeight="1">
      <c r="B27" s="528" t="s">
        <v>698</v>
      </c>
      <c r="C27" s="550">
        <v>120</v>
      </c>
      <c r="D27" s="550">
        <v>419</v>
      </c>
      <c r="E27" s="550">
        <v>173</v>
      </c>
      <c r="F27" s="550">
        <v>210</v>
      </c>
      <c r="G27" s="550">
        <v>142</v>
      </c>
    </row>
    <row r="28" spans="2:9" ht="12.95" customHeight="1">
      <c r="B28" s="528" t="s">
        <v>719</v>
      </c>
      <c r="C28" s="550">
        <v>610</v>
      </c>
      <c r="D28" s="550">
        <v>196</v>
      </c>
      <c r="E28" s="550">
        <v>235</v>
      </c>
      <c r="F28" s="550">
        <v>304</v>
      </c>
      <c r="G28" s="550">
        <v>307</v>
      </c>
    </row>
    <row r="29" spans="2:9" ht="12.95" customHeight="1">
      <c r="B29" s="526" t="s">
        <v>476</v>
      </c>
      <c r="C29" s="552">
        <v>15322</v>
      </c>
      <c r="D29" s="552">
        <v>-2446</v>
      </c>
      <c r="E29" s="552">
        <v>-18410</v>
      </c>
      <c r="F29" s="552">
        <v>-3416</v>
      </c>
      <c r="G29" s="552">
        <v>3512</v>
      </c>
    </row>
    <row r="30" spans="2:9" ht="12.95" customHeight="1">
      <c r="C30" s="553"/>
      <c r="D30" s="554"/>
      <c r="E30" s="554"/>
      <c r="F30" s="554"/>
      <c r="G30" s="554"/>
      <c r="H30" s="548"/>
    </row>
    <row r="31" spans="2:9" ht="12.95" customHeight="1">
      <c r="B31" s="540" t="s">
        <v>466</v>
      </c>
      <c r="C31" s="550"/>
      <c r="D31" s="550"/>
      <c r="E31" s="550" t="s">
        <v>422</v>
      </c>
      <c r="F31" s="550" t="s">
        <v>422</v>
      </c>
      <c r="G31" s="550" t="s">
        <v>422</v>
      </c>
    </row>
    <row r="32" spans="2:9" ht="12.95" customHeight="1">
      <c r="B32" s="523" t="s">
        <v>720</v>
      </c>
      <c r="C32" s="550">
        <v>-1722</v>
      </c>
      <c r="D32" s="550">
        <v>-1834</v>
      </c>
      <c r="E32" s="550">
        <v>-1303</v>
      </c>
      <c r="F32" s="550">
        <v>-980</v>
      </c>
      <c r="G32" s="550">
        <v>-1222</v>
      </c>
    </row>
    <row r="33" spans="2:8" ht="12.95" customHeight="1">
      <c r="B33" s="523" t="s">
        <v>721</v>
      </c>
      <c r="C33" s="550">
        <v>120</v>
      </c>
      <c r="D33" s="550">
        <v>334</v>
      </c>
      <c r="E33" s="550">
        <v>296</v>
      </c>
      <c r="F33" s="550">
        <v>529</v>
      </c>
      <c r="G33" s="550">
        <v>35</v>
      </c>
    </row>
    <row r="34" spans="2:8" ht="12.95" customHeight="1">
      <c r="B34" s="523" t="s">
        <v>722</v>
      </c>
      <c r="C34" s="550">
        <v>-3230</v>
      </c>
      <c r="D34" s="550">
        <v>-455</v>
      </c>
      <c r="E34" s="524">
        <v>0</v>
      </c>
      <c r="F34" s="550">
        <v>-6</v>
      </c>
      <c r="G34" s="524">
        <v>0</v>
      </c>
    </row>
    <row r="35" spans="2:8" ht="12.95" customHeight="1">
      <c r="B35" s="523" t="s">
        <v>730</v>
      </c>
      <c r="C35" s="524">
        <v>0</v>
      </c>
      <c r="D35" s="524">
        <v>464</v>
      </c>
      <c r="E35" s="524">
        <v>0</v>
      </c>
      <c r="F35" s="524">
        <v>0</v>
      </c>
      <c r="G35" s="524">
        <v>0</v>
      </c>
    </row>
    <row r="36" spans="2:8" ht="12.95" customHeight="1">
      <c r="B36" s="523" t="s">
        <v>723</v>
      </c>
      <c r="C36" s="550">
        <v>-2607</v>
      </c>
      <c r="D36" s="550">
        <v>-1658</v>
      </c>
      <c r="E36" s="550">
        <v>-37616</v>
      </c>
      <c r="F36" s="550">
        <v>-35713</v>
      </c>
      <c r="G36" s="550">
        <v>-5051</v>
      </c>
    </row>
    <row r="37" spans="2:8" ht="12.95" customHeight="1">
      <c r="B37" s="523" t="s">
        <v>724</v>
      </c>
      <c r="C37" s="550">
        <v>2898</v>
      </c>
      <c r="D37" s="550">
        <v>1759</v>
      </c>
      <c r="E37" s="550">
        <v>20275</v>
      </c>
      <c r="F37" s="550">
        <v>45489</v>
      </c>
      <c r="G37" s="550">
        <v>10619</v>
      </c>
    </row>
    <row r="38" spans="2:8" ht="12.95" customHeight="1">
      <c r="B38" s="523" t="s">
        <v>731</v>
      </c>
      <c r="C38" s="524">
        <v>69</v>
      </c>
      <c r="D38" s="524">
        <v>127</v>
      </c>
      <c r="E38" s="524"/>
      <c r="F38" s="524"/>
      <c r="G38" s="524"/>
      <c r="H38" s="532"/>
    </row>
    <row r="39" spans="2:8" ht="12.95" customHeight="1">
      <c r="B39" s="523" t="s">
        <v>719</v>
      </c>
      <c r="C39" s="550">
        <v>-11</v>
      </c>
      <c r="D39" s="550">
        <v>-13</v>
      </c>
      <c r="E39" s="550">
        <v>-18</v>
      </c>
      <c r="F39" s="550">
        <v>5</v>
      </c>
      <c r="G39" s="550">
        <v>-11</v>
      </c>
    </row>
    <row r="40" spans="2:8" ht="12.95" customHeight="1">
      <c r="B40" s="526" t="s">
        <v>467</v>
      </c>
      <c r="C40" s="552">
        <v>-4621</v>
      </c>
      <c r="D40" s="552">
        <v>-1530</v>
      </c>
      <c r="E40" s="552">
        <v>-18366</v>
      </c>
      <c r="F40" s="552">
        <v>9324</v>
      </c>
      <c r="G40" s="552">
        <v>4370</v>
      </c>
    </row>
    <row r="41" spans="2:8" ht="12.95" customHeight="1">
      <c r="C41" s="553"/>
      <c r="D41" s="554"/>
      <c r="E41" s="554"/>
      <c r="F41" s="554"/>
      <c r="G41" s="554"/>
    </row>
    <row r="42" spans="2:8" ht="12.95" customHeight="1">
      <c r="B42" s="540" t="s">
        <v>468</v>
      </c>
      <c r="C42" s="550"/>
      <c r="D42" s="550"/>
      <c r="E42" s="550" t="s">
        <v>422</v>
      </c>
      <c r="F42" s="550" t="s">
        <v>422</v>
      </c>
      <c r="G42" s="550" t="s">
        <v>422</v>
      </c>
    </row>
    <row r="43" spans="2:8" ht="12.95" customHeight="1">
      <c r="B43" s="523" t="s">
        <v>725</v>
      </c>
      <c r="C43" s="550">
        <v>8548</v>
      </c>
      <c r="D43" s="550">
        <v>25389</v>
      </c>
      <c r="E43" s="550">
        <v>47248</v>
      </c>
      <c r="F43" s="550">
        <v>9795</v>
      </c>
      <c r="G43" s="550">
        <v>34</v>
      </c>
    </row>
    <row r="44" spans="2:8" ht="12.95" customHeight="1">
      <c r="B44" s="523" t="s">
        <v>726</v>
      </c>
      <c r="C44" s="550">
        <v>-7183</v>
      </c>
      <c r="D44" s="550">
        <v>-12171</v>
      </c>
      <c r="E44" s="550">
        <v>-10998</v>
      </c>
      <c r="F44" s="550">
        <v>-15371</v>
      </c>
      <c r="G44" s="550">
        <v>-1310</v>
      </c>
    </row>
    <row r="45" spans="2:8" ht="12.95" customHeight="1">
      <c r="B45" s="523" t="s">
        <v>732</v>
      </c>
      <c r="C45" s="524">
        <v>35</v>
      </c>
      <c r="D45" s="524">
        <v>7</v>
      </c>
      <c r="E45" s="524">
        <v>0</v>
      </c>
      <c r="F45" s="524">
        <v>0</v>
      </c>
      <c r="G45" s="524">
        <v>0</v>
      </c>
    </row>
    <row r="46" spans="2:8" ht="12.95" customHeight="1">
      <c r="B46" s="523" t="s">
        <v>727</v>
      </c>
      <c r="C46" s="550">
        <v>81</v>
      </c>
      <c r="D46" s="550">
        <v>58</v>
      </c>
      <c r="E46" s="550">
        <v>36</v>
      </c>
      <c r="F46" s="550">
        <v>42</v>
      </c>
      <c r="G46" s="550">
        <v>50</v>
      </c>
    </row>
    <row r="47" spans="2:8" ht="12.95" customHeight="1">
      <c r="B47" s="523" t="s">
        <v>728</v>
      </c>
      <c r="C47" s="550">
        <v>-257</v>
      </c>
      <c r="D47" s="550">
        <v>-248</v>
      </c>
      <c r="E47" s="550">
        <v>-173</v>
      </c>
      <c r="F47" s="550">
        <v>-66</v>
      </c>
      <c r="G47" s="550">
        <v>-40</v>
      </c>
    </row>
    <row r="48" spans="2:8" ht="12.95" customHeight="1">
      <c r="B48" s="523" t="s">
        <v>733</v>
      </c>
      <c r="C48" s="524">
        <v>-9000</v>
      </c>
      <c r="D48" s="524">
        <v>-2651</v>
      </c>
      <c r="E48" s="524">
        <v>0</v>
      </c>
      <c r="F48" s="524">
        <v>0</v>
      </c>
      <c r="G48" s="524">
        <v>0</v>
      </c>
    </row>
    <row r="49" spans="2:9" ht="12.95" customHeight="1">
      <c r="B49" s="523" t="s">
        <v>729</v>
      </c>
      <c r="C49" s="550">
        <v>-3946</v>
      </c>
      <c r="D49" s="550">
        <v>-4630</v>
      </c>
      <c r="E49" s="550">
        <v>-1158</v>
      </c>
      <c r="F49" s="524">
        <v>0</v>
      </c>
      <c r="G49" s="524">
        <v>0</v>
      </c>
    </row>
    <row r="50" spans="2:9" ht="12.95" customHeight="1">
      <c r="B50" s="523" t="s">
        <v>719</v>
      </c>
      <c r="C50" s="524">
        <v>0</v>
      </c>
      <c r="D50" s="524">
        <v>-15</v>
      </c>
      <c r="E50" s="524">
        <v>0</v>
      </c>
      <c r="F50" s="524">
        <v>0</v>
      </c>
      <c r="G50" s="524">
        <v>0</v>
      </c>
    </row>
    <row r="51" spans="2:9" ht="12.95" customHeight="1">
      <c r="B51" s="526" t="s">
        <v>472</v>
      </c>
      <c r="C51" s="552">
        <v>-11722</v>
      </c>
      <c r="D51" s="552">
        <v>5739</v>
      </c>
      <c r="E51" s="552">
        <v>34955</v>
      </c>
      <c r="F51" s="552">
        <v>-5600</v>
      </c>
      <c r="G51" s="552">
        <v>-1266</v>
      </c>
      <c r="I51" s="523"/>
    </row>
    <row r="52" spans="2:9" ht="12.95" customHeight="1">
      <c r="B52" s="523"/>
      <c r="C52" s="551"/>
      <c r="D52" s="551"/>
      <c r="E52" s="551"/>
      <c r="F52" s="551"/>
      <c r="G52" s="551"/>
    </row>
    <row r="53" spans="2:9" ht="12.95" customHeight="1">
      <c r="B53" s="523" t="s">
        <v>469</v>
      </c>
      <c r="C53" s="550">
        <v>-53</v>
      </c>
      <c r="D53" s="550">
        <v>-5</v>
      </c>
      <c r="E53" s="550">
        <v>85</v>
      </c>
      <c r="F53" s="550">
        <v>-39</v>
      </c>
      <c r="G53" s="550">
        <v>-73</v>
      </c>
    </row>
    <row r="54" spans="2:9" ht="12.95" customHeight="1">
      <c r="C54" s="553"/>
      <c r="D54" s="554"/>
      <c r="E54" s="554"/>
      <c r="F54" s="554"/>
      <c r="G54" s="554"/>
    </row>
    <row r="55" spans="2:9" ht="12.95" customHeight="1">
      <c r="B55" s="526" t="s">
        <v>473</v>
      </c>
      <c r="C55" s="552">
        <v>-1074</v>
      </c>
      <c r="D55" s="552">
        <v>1758</v>
      </c>
      <c r="E55" s="552">
        <v>-1736</v>
      </c>
      <c r="F55" s="552">
        <v>269</v>
      </c>
      <c r="G55" s="552">
        <v>6543</v>
      </c>
    </row>
    <row r="56" spans="2:9" ht="12.95" customHeight="1">
      <c r="B56" s="523" t="s">
        <v>475</v>
      </c>
      <c r="C56" s="550">
        <v>8887</v>
      </c>
      <c r="D56" s="550">
        <v>7813</v>
      </c>
      <c r="E56" s="550">
        <v>9571</v>
      </c>
      <c r="F56" s="550">
        <v>7835</v>
      </c>
      <c r="G56" s="550">
        <v>8104</v>
      </c>
    </row>
    <row r="57" spans="2:9" ht="12.95" customHeight="1">
      <c r="B57" s="523" t="s">
        <v>474</v>
      </c>
      <c r="C57" s="550">
        <v>7813</v>
      </c>
      <c r="D57" s="550">
        <v>9571</v>
      </c>
      <c r="E57" s="550">
        <v>7835</v>
      </c>
      <c r="F57" s="550">
        <v>8104</v>
      </c>
      <c r="G57" s="550">
        <v>14647</v>
      </c>
      <c r="H57" s="532"/>
    </row>
    <row r="58" spans="2:9" ht="12.95" customHeight="1">
      <c r="B58" s="540" t="s">
        <v>477</v>
      </c>
      <c r="C58" s="550">
        <v>-176</v>
      </c>
      <c r="D58" s="550">
        <v>-86</v>
      </c>
      <c r="E58" s="550">
        <v>83</v>
      </c>
      <c r="F58" s="550">
        <v>52</v>
      </c>
      <c r="G58" s="550">
        <v>33</v>
      </c>
      <c r="H58" s="532"/>
    </row>
    <row r="59" spans="2:9" ht="12.95" customHeight="1">
      <c r="B59" s="533" t="s">
        <v>85</v>
      </c>
      <c r="C59" s="556">
        <v>7637</v>
      </c>
      <c r="D59" s="556">
        <v>9485</v>
      </c>
      <c r="E59" s="556">
        <v>7752</v>
      </c>
      <c r="F59" s="556">
        <v>8052</v>
      </c>
      <c r="G59" s="556">
        <v>14614</v>
      </c>
    </row>
    <row r="61" spans="2:9" ht="12.95" customHeight="1">
      <c r="B61" s="528"/>
      <c r="C61" s="536"/>
      <c r="D61" s="524"/>
      <c r="E61" s="524"/>
      <c r="F61" s="524"/>
      <c r="G61" s="524"/>
    </row>
    <row r="62" spans="2:9" ht="12.95" customHeight="1">
      <c r="B62" s="540"/>
      <c r="C62" s="536"/>
      <c r="D62" s="524"/>
      <c r="E62" s="524"/>
      <c r="F62" s="524"/>
      <c r="G62" s="524"/>
      <c r="I62" s="523"/>
    </row>
    <row r="63" spans="2:9" ht="12.95" customHeight="1">
      <c r="B63" s="528"/>
      <c r="C63" s="536"/>
      <c r="D63" s="524"/>
      <c r="E63" s="524"/>
      <c r="F63" s="524"/>
      <c r="G63" s="524"/>
      <c r="I63" s="523"/>
    </row>
    <row r="64" spans="2:9" ht="12.95" customHeight="1">
      <c r="B64" s="528"/>
      <c r="C64" s="536"/>
      <c r="D64" s="524"/>
      <c r="E64" s="524"/>
      <c r="F64" s="524"/>
      <c r="G64" s="524"/>
      <c r="I64" s="523"/>
    </row>
    <row r="65" spans="2:11" ht="12.95" customHeight="1">
      <c r="B65" s="528"/>
      <c r="C65" s="536"/>
      <c r="D65" s="524"/>
      <c r="E65" s="535"/>
      <c r="F65" s="535"/>
      <c r="G65" s="535"/>
    </row>
    <row r="66" spans="2:11" ht="12.95" customHeight="1">
      <c r="B66" s="528"/>
      <c r="C66" s="536"/>
      <c r="D66" s="524"/>
      <c r="E66" s="524"/>
      <c r="F66" s="524"/>
      <c r="G66" s="524"/>
    </row>
    <row r="67" spans="2:11" ht="12.95" customHeight="1">
      <c r="B67" s="528"/>
      <c r="C67" s="536"/>
      <c r="D67" s="524"/>
      <c r="E67" s="524"/>
      <c r="F67" s="524"/>
      <c r="G67" s="524"/>
      <c r="H67" s="532"/>
      <c r="I67" s="532"/>
      <c r="J67" s="532"/>
      <c r="K67" s="532"/>
    </row>
    <row r="68" spans="2:11" ht="12.95" customHeight="1">
      <c r="H68" s="532"/>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9</vt:i4>
      </vt:variant>
    </vt:vector>
  </HeadingPairs>
  <TitlesOfParts>
    <vt:vector size="43" baseType="lpstr">
      <vt:lpstr>Dashboard</vt:lpstr>
      <vt:lpstr>Drivers</vt:lpstr>
      <vt:lpstr>About</vt:lpstr>
      <vt:lpstr>Corporate Governance</vt:lpstr>
      <vt:lpstr>Index</vt:lpstr>
      <vt:lpstr>Risk Free Rate &amp; ERP</vt:lpstr>
      <vt:lpstr>Beta Calculation Data</vt:lpstr>
      <vt:lpstr>Bottom Up Beta</vt:lpstr>
      <vt:lpstr>Cost of Equity, Debt &amp; WACC</vt:lpstr>
      <vt:lpstr>Cash Flows</vt:lpstr>
      <vt:lpstr>Accounting Adjustments</vt:lpstr>
      <vt:lpstr>Reinvestment</vt:lpstr>
      <vt:lpstr>FCFF &amp; FCFE</vt:lpstr>
      <vt:lpstr>Growth Rate &amp; TV</vt:lpstr>
      <vt:lpstr>Expected Growth Rate</vt:lpstr>
      <vt:lpstr>Future CashFlows (10Y)</vt:lpstr>
      <vt:lpstr>Terminal Value</vt:lpstr>
      <vt:lpstr>Road to Fair Value of Share</vt:lpstr>
      <vt:lpstr>Cash &amp; Marketable Securities</vt:lpstr>
      <vt:lpstr>Future Value (Equity Options)</vt:lpstr>
      <vt:lpstr>Fair Value of Share</vt:lpstr>
      <vt:lpstr>What If Analysis</vt:lpstr>
      <vt:lpstr>Sensitivity Analysis</vt:lpstr>
      <vt:lpstr>Scenario Analysis</vt:lpstr>
      <vt:lpstr>Financing Decision</vt:lpstr>
      <vt:lpstr>Debt Design Explained</vt:lpstr>
      <vt:lpstr>Optimal Cost of Capital</vt:lpstr>
      <vt:lpstr>Adjusted Present Value</vt:lpstr>
      <vt:lpstr>Dividend Decision</vt:lpstr>
      <vt:lpstr>Cash Return Explained</vt:lpstr>
      <vt:lpstr>Resources</vt:lpstr>
      <vt:lpstr>Income Statement</vt:lpstr>
      <vt:lpstr>Balance Sheet</vt:lpstr>
      <vt:lpstr>Cash Flow Statement</vt:lpstr>
      <vt:lpstr>'Adjusted Present Value'!Print_Area</vt:lpstr>
      <vt:lpstr>'Cash Return Explained'!Print_Area</vt:lpstr>
      <vt:lpstr>Dashboard!Print_Area</vt:lpstr>
      <vt:lpstr>'Debt Design Explained'!Print_Area</vt:lpstr>
      <vt:lpstr>'Fair Value of Share'!Print_Area</vt:lpstr>
      <vt:lpstr>'Future Value (Equity Options)'!Print_Area</vt:lpstr>
      <vt:lpstr>'Optimal Cost of Capital'!Print_Area</vt:lpstr>
      <vt:lpstr>'Scenario Analysis'!Print_Area</vt:lpstr>
      <vt:lpstr>'Sensitivity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2023-04-18T02:59:49Z</dcterms:modified>
</cp:coreProperties>
</file>