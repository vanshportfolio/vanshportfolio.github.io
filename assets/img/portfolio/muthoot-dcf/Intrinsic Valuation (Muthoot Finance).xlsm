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585" windowWidth="14805" windowHeight="7530"/>
  </bookViews>
  <sheets>
    <sheet name="Cover" sheetId="28" r:id="rId1"/>
    <sheet name="About" sheetId="29" r:id="rId2"/>
    <sheet name="Index" sheetId="4" r:id="rId3"/>
    <sheet name="Risk Free Rate" sheetId="24" r:id="rId4"/>
    <sheet name="Equity Risk Premium" sheetId="26" r:id="rId5"/>
    <sheet name="Beta" sheetId="53" r:id="rId6"/>
    <sheet name="Cost of Equity" sheetId="23" r:id="rId7"/>
    <sheet name=" Cash Flows and Fair Value" sheetId="36" r:id="rId8"/>
    <sheet name="Muthoot &amp; Gold Relationship" sheetId="55" r:id="rId9"/>
    <sheet name="Industry Numbers" sheetId="54" r:id="rId10"/>
    <sheet name="Future Cashflows (10 Yrs)" sheetId="37" r:id="rId11"/>
    <sheet name="Fair Value of Share" sheetId="48" r:id="rId12"/>
  </sheets>
  <definedNames>
    <definedName name="_xlnm.Print_Area" localSheetId="1">About!$H$12:$T$42</definedName>
    <definedName name="_xlnm.Print_Area" localSheetId="5">Beta!$G$2:$M$10,Beta!$B$3:$C$13</definedName>
    <definedName name="_xlnm.Print_Area" localSheetId="11">'Fair Value of Share'!$A$12:$H$23</definedName>
    <definedName name="_xlnm.Print_Area" localSheetId="10">'Future Cashflows (10 Yrs)'!$B$3:$G$29</definedName>
    <definedName name="_xlnm.Print_Area" localSheetId="9">'Industry Numbers'!$B$4:$E$10</definedName>
    <definedName name="_xlnm.Print_Area" localSheetId="8">'Muthoot &amp; Gold Relationship'!$F$25:$H$30</definedName>
    <definedName name="_xlnm.Print_Area" localSheetId="3">'Risk Free Rate'!$I$6:$P$17</definedName>
  </definedNames>
  <calcPr calcId="162913" iterate="1"/>
</workbook>
</file>

<file path=xl/calcChain.xml><?xml version="1.0" encoding="utf-8"?>
<calcChain xmlns="http://schemas.openxmlformats.org/spreadsheetml/2006/main">
  <c r="E15" i="37" l="1"/>
  <c r="E14" i="37"/>
  <c r="D47" i="55" l="1"/>
  <c r="D46" i="55"/>
  <c r="D45" i="55"/>
  <c r="D7" i="55"/>
  <c r="D17" i="55"/>
  <c r="D16" i="55"/>
  <c r="D15" i="55"/>
  <c r="D14" i="55"/>
  <c r="D13" i="55"/>
  <c r="D12" i="55"/>
  <c r="D11" i="55"/>
  <c r="D10" i="55"/>
  <c r="D9" i="55"/>
  <c r="D8" i="55"/>
  <c r="D6" i="55"/>
  <c r="D5" i="55"/>
  <c r="D4" i="55"/>
  <c r="C16" i="48" l="1"/>
  <c r="E18" i="37"/>
  <c r="D28" i="37"/>
  <c r="D29" i="37"/>
  <c r="D10" i="54"/>
  <c r="C4" i="37"/>
  <c r="E10" i="54"/>
  <c r="I19" i="53"/>
  <c r="K17" i="53"/>
  <c r="L17" i="53"/>
  <c r="K18" i="53"/>
  <c r="L18" i="53"/>
  <c r="C5" i="37" l="1"/>
  <c r="C6" i="37" s="1"/>
  <c r="E10" i="37"/>
  <c r="E12" i="37" s="1"/>
  <c r="C6" i="53"/>
  <c r="C5" i="23" s="1"/>
  <c r="L16" i="53"/>
  <c r="K16" i="53"/>
  <c r="L15" i="53"/>
  <c r="K15" i="53"/>
  <c r="L14" i="53"/>
  <c r="K14" i="53"/>
  <c r="L13" i="53"/>
  <c r="K13" i="53"/>
  <c r="L12" i="53"/>
  <c r="K12" i="53"/>
  <c r="L11" i="53"/>
  <c r="K11" i="53"/>
  <c r="L10" i="53"/>
  <c r="K10" i="53"/>
  <c r="C4" i="53"/>
  <c r="C3" i="53"/>
  <c r="L9" i="53"/>
  <c r="K9" i="53"/>
  <c r="L8" i="53"/>
  <c r="K8" i="53"/>
  <c r="L7" i="53"/>
  <c r="K7" i="53"/>
  <c r="L6" i="53"/>
  <c r="K6" i="53"/>
  <c r="L5" i="53"/>
  <c r="K5" i="53"/>
  <c r="L4" i="53"/>
  <c r="K4" i="53"/>
  <c r="D23" i="37" l="1"/>
  <c r="D26" i="37" s="1"/>
  <c r="D27" i="37" s="1"/>
  <c r="E7" i="37"/>
  <c r="E9" i="37" s="1"/>
  <c r="C7" i="37"/>
  <c r="E13" i="37"/>
  <c r="E11" i="37"/>
  <c r="D21" i="37" l="1"/>
  <c r="D22" i="37" s="1"/>
  <c r="E8" i="37"/>
  <c r="E6" i="37" s="1"/>
  <c r="E5" i="37" s="1"/>
  <c r="F5" i="37" s="1"/>
  <c r="G5" i="37" s="1"/>
  <c r="F19" i="37" s="1"/>
  <c r="D25" i="37"/>
  <c r="D24" i="37" s="1"/>
  <c r="F7" i="37"/>
  <c r="C8" i="37"/>
  <c r="D19" i="37" l="1"/>
  <c r="D20" i="37" s="1"/>
  <c r="C19" i="37"/>
  <c r="F6" i="37"/>
  <c r="G6" i="37" s="1"/>
  <c r="F20" i="37" s="1"/>
  <c r="F8" i="37"/>
  <c r="G8" i="37" s="1"/>
  <c r="F22" i="37" s="1"/>
  <c r="C9" i="37"/>
  <c r="F9" i="37" s="1"/>
  <c r="E19" i="37" l="1"/>
  <c r="G19" i="37" s="1"/>
  <c r="C8" i="48" s="1"/>
  <c r="G7" i="37"/>
  <c r="F21" i="37" s="1"/>
  <c r="C20" i="37"/>
  <c r="E20" i="37" s="1"/>
  <c r="G20" i="37" s="1"/>
  <c r="D8" i="48" s="1"/>
  <c r="G9" i="37"/>
  <c r="F23" i="37" s="1"/>
  <c r="C10" i="37"/>
  <c r="C11" i="37" s="1"/>
  <c r="C21" i="37" l="1"/>
  <c r="E21" i="37" s="1"/>
  <c r="G21" i="37" s="1"/>
  <c r="E8" i="48" s="1"/>
  <c r="F10" i="37"/>
  <c r="G10" i="37" s="1"/>
  <c r="F24" i="37" s="1"/>
  <c r="C22" i="37" l="1"/>
  <c r="C23" i="37" s="1"/>
  <c r="F11" i="37"/>
  <c r="G11" i="37" s="1"/>
  <c r="F25" i="37" s="1"/>
  <c r="E22" i="37" l="1"/>
  <c r="G22" i="37" s="1"/>
  <c r="F8" i="48" s="1"/>
  <c r="E23" i="37"/>
  <c r="G23" i="37" s="1"/>
  <c r="G8" i="48" s="1"/>
  <c r="C24" i="37"/>
  <c r="C25" i="37" l="1"/>
  <c r="E24" i="37"/>
  <c r="G24" i="37" s="1"/>
  <c r="H8" i="48" s="1"/>
  <c r="E25" i="37" l="1"/>
  <c r="G25" i="37" s="1"/>
  <c r="I8" i="48" s="1"/>
  <c r="J4" i="26" l="1"/>
  <c r="J5" i="26"/>
  <c r="J6" i="26"/>
  <c r="J7" i="26"/>
  <c r="J8" i="26"/>
  <c r="I14" i="26"/>
  <c r="J13" i="26"/>
  <c r="J12" i="26"/>
  <c r="J11" i="26"/>
  <c r="E21" i="26"/>
  <c r="M4" i="26"/>
  <c r="C11" i="26"/>
  <c r="J9" i="26"/>
  <c r="J10" i="26"/>
  <c r="C7" i="26"/>
  <c r="C6" i="26"/>
  <c r="C3" i="26"/>
  <c r="B6" i="4"/>
  <c r="B7" i="4" s="1"/>
  <c r="B8" i="4" s="1"/>
  <c r="B9" i="4" s="1"/>
  <c r="B10" i="4" s="1"/>
  <c r="B11" i="4" s="1"/>
  <c r="B12" i="4" s="1"/>
  <c r="B13" i="4" s="1"/>
  <c r="M6" i="26" l="1"/>
  <c r="M7" i="26" s="1"/>
  <c r="J14" i="26"/>
  <c r="C4" i="26" s="1"/>
  <c r="C7" i="24"/>
  <c r="C3" i="24" s="1"/>
  <c r="D13" i="37" l="1"/>
  <c r="H5" i="54"/>
  <c r="D15" i="37"/>
  <c r="D12" i="37"/>
  <c r="C12" i="37" s="1"/>
  <c r="D14" i="37"/>
  <c r="F27" i="26"/>
  <c r="C3" i="23"/>
  <c r="M5" i="26"/>
  <c r="M9" i="26" s="1"/>
  <c r="C13" i="26" s="1"/>
  <c r="F21" i="26"/>
  <c r="F12" i="37" l="1"/>
  <c r="G12" i="37" s="1"/>
  <c r="C13" i="37"/>
  <c r="G21" i="26"/>
  <c r="H21" i="26" s="1"/>
  <c r="F13" i="37" l="1"/>
  <c r="G13" i="37" s="1"/>
  <c r="F27" i="37" s="1"/>
  <c r="C14" i="37"/>
  <c r="F26" i="37"/>
  <c r="C26" i="37"/>
  <c r="I21" i="26"/>
  <c r="J21" i="26" s="1"/>
  <c r="K21" i="26" s="1"/>
  <c r="C27" i="37" l="1"/>
  <c r="E26" i="37"/>
  <c r="G26" i="37" s="1"/>
  <c r="J8" i="48" s="1"/>
  <c r="C15" i="37"/>
  <c r="F15" i="37" s="1"/>
  <c r="F14" i="37"/>
  <c r="G14" i="37" s="1"/>
  <c r="F28" i="37" s="1"/>
  <c r="F24" i="26"/>
  <c r="F23" i="26"/>
  <c r="G15" i="37" l="1"/>
  <c r="F29" i="37"/>
  <c r="C28" i="37"/>
  <c r="E27" i="37"/>
  <c r="G27" i="37" s="1"/>
  <c r="K8" i="48" s="1"/>
  <c r="F26" i="26"/>
  <c r="F28" i="26" s="1"/>
  <c r="H6" i="54" s="1"/>
  <c r="H9" i="54" s="1"/>
  <c r="L9" i="48" s="1"/>
  <c r="C29" i="37" l="1"/>
  <c r="E29" i="37" s="1"/>
  <c r="G29" i="37" s="1"/>
  <c r="C13" i="48" s="1"/>
  <c r="C14" i="48" s="1"/>
  <c r="E28" i="37"/>
  <c r="G28" i="37" s="1"/>
  <c r="L8" i="48" s="1"/>
  <c r="C4" i="23"/>
  <c r="C7" i="23" l="1"/>
  <c r="C9" i="48" s="1"/>
  <c r="G9" i="48" l="1"/>
  <c r="C10" i="48"/>
  <c r="E9" i="48" l="1"/>
  <c r="I9" i="48"/>
  <c r="K9" i="48" s="1"/>
  <c r="J9" i="48" s="1"/>
  <c r="H9" i="48" l="1"/>
  <c r="F9" i="48"/>
  <c r="F10" i="48" s="1"/>
  <c r="D9" i="48"/>
  <c r="D10" i="48" s="1"/>
  <c r="E10" i="48"/>
  <c r="G10" i="48"/>
  <c r="H10" i="48"/>
  <c r="I10" i="48"/>
  <c r="J10" i="48"/>
  <c r="K10" i="48"/>
  <c r="L10" i="48"/>
  <c r="C12" i="48" l="1"/>
  <c r="C15" i="48" s="1"/>
  <c r="C17" i="48" l="1"/>
  <c r="C19" i="48" s="1"/>
</calcChain>
</file>

<file path=xl/sharedStrings.xml><?xml version="1.0" encoding="utf-8"?>
<sst xmlns="http://schemas.openxmlformats.org/spreadsheetml/2006/main" count="277" uniqueCount="229">
  <si>
    <t xml:space="preserve">#                </t>
  </si>
  <si>
    <t>Worksheet</t>
  </si>
  <si>
    <t>Beta</t>
  </si>
  <si>
    <t>Cost of Capital</t>
  </si>
  <si>
    <t>Cost of Equity</t>
  </si>
  <si>
    <t>Risk Free Rate</t>
  </si>
  <si>
    <t>Equity Risk Premium</t>
  </si>
  <si>
    <t>India 10-Year Government Bond Yield</t>
  </si>
  <si>
    <t>India Credit Rating (Fitch - 06/10/2022)</t>
  </si>
  <si>
    <t>India's Default Spread</t>
  </si>
  <si>
    <t>Cyprus</t>
  </si>
  <si>
    <t>Mexico</t>
  </si>
  <si>
    <t>Panama</t>
  </si>
  <si>
    <t>Romania</t>
  </si>
  <si>
    <t>Uruguay</t>
  </si>
  <si>
    <t>Croatia</t>
  </si>
  <si>
    <t>Kazakhstan</t>
  </si>
  <si>
    <t>Montserrat</t>
  </si>
  <si>
    <t>Trinidad and Tobago</t>
  </si>
  <si>
    <t>Aa2</t>
  </si>
  <si>
    <t>B1</t>
  </si>
  <si>
    <t>Baa2</t>
  </si>
  <si>
    <t>B3</t>
  </si>
  <si>
    <t>Ca</t>
  </si>
  <si>
    <t>Ba3</t>
  </si>
  <si>
    <t>Aaa</t>
  </si>
  <si>
    <t>Aa1</t>
  </si>
  <si>
    <t>Ba2</t>
  </si>
  <si>
    <t>B2</t>
  </si>
  <si>
    <t>Caa1</t>
  </si>
  <si>
    <t>Aa3</t>
  </si>
  <si>
    <t>Caa3</t>
  </si>
  <si>
    <t>A2</t>
  </si>
  <si>
    <t>A3</t>
  </si>
  <si>
    <t>Baa1</t>
  </si>
  <si>
    <t>A1</t>
  </si>
  <si>
    <t>Caa2</t>
  </si>
  <si>
    <t>Ba1</t>
  </si>
  <si>
    <t>Baa3</t>
  </si>
  <si>
    <t>C</t>
  </si>
  <si>
    <t>Credit Rating</t>
  </si>
  <si>
    <t>Avg Default Spread (%)</t>
  </si>
  <si>
    <t>Countries credit rating same as India</t>
  </si>
  <si>
    <t>(Risk Free Rate = 10 Year Gov Bond - Default Spread)</t>
  </si>
  <si>
    <t>Year</t>
  </si>
  <si>
    <t>Dividends from Nifty50 in 2021</t>
  </si>
  <si>
    <t>Dividend Cf</t>
  </si>
  <si>
    <t>Avg Div Yield</t>
  </si>
  <si>
    <t>Adj Avg Div Yield (Last 10 Years)</t>
  </si>
  <si>
    <t>Dividend Yield (as on March 31, 2022)</t>
  </si>
  <si>
    <t>Weights</t>
  </si>
  <si>
    <t>Adj Avg Dividend Cash Flows in 2021</t>
  </si>
  <si>
    <t>Source:</t>
  </si>
  <si>
    <t>Nifty 50 Dividend Yield(DIV) on Trendlyne.com</t>
  </si>
  <si>
    <t>Nifty50 Dividend Points Index Ticker: NIFTYDIVID</t>
  </si>
  <si>
    <t>FY13</t>
  </si>
  <si>
    <t>FY14</t>
  </si>
  <si>
    <t>FY15</t>
  </si>
  <si>
    <t>FY16</t>
  </si>
  <si>
    <t>FY17</t>
  </si>
  <si>
    <t>FY18</t>
  </si>
  <si>
    <t>FY19</t>
  </si>
  <si>
    <t>FY20</t>
  </si>
  <si>
    <t>FY21</t>
  </si>
  <si>
    <t>FY22</t>
  </si>
  <si>
    <t>FY23</t>
  </si>
  <si>
    <t>FY24</t>
  </si>
  <si>
    <t>FY25</t>
  </si>
  <si>
    <t>FY26</t>
  </si>
  <si>
    <t>FY27</t>
  </si>
  <si>
    <t>EPS of Nifty50 (31st Mar 2012)</t>
  </si>
  <si>
    <t>EPS of Nifty50 (31st Mar 2022)</t>
  </si>
  <si>
    <t>Avg EPS growth Nifty50 (Last 10 Years)</t>
  </si>
  <si>
    <t>Exp Growth %</t>
  </si>
  <si>
    <t>Expected Growth % in Nifty50 (Next 5 Years)</t>
  </si>
  <si>
    <t>Nifty 50 Earnings Per share (EPS)</t>
  </si>
  <si>
    <t>India 10-Year Bond Yield</t>
  </si>
  <si>
    <t>Wght Div Cf</t>
  </si>
  <si>
    <t>Investment Outflow</t>
  </si>
  <si>
    <t>NPV @ 10%</t>
  </si>
  <si>
    <t>NPV @ 9%</t>
  </si>
  <si>
    <t>Exp Return on Stocks</t>
  </si>
  <si>
    <t>-</t>
  </si>
  <si>
    <t>Implied Market Risk Premium (India)</t>
  </si>
  <si>
    <t>Ticker</t>
  </si>
  <si>
    <t>Std Error</t>
  </si>
  <si>
    <t>Beta Range</t>
  </si>
  <si>
    <t>Low Beta</t>
  </si>
  <si>
    <t>High Beta</t>
  </si>
  <si>
    <t>Regression Beta using Python (skLearn.LinearModel)</t>
  </si>
  <si>
    <t>Yahoo Finance (yahoofinancials module)</t>
  </si>
  <si>
    <t>Bottom-Up Beta</t>
  </si>
  <si>
    <t>India Corporate Tax Rate</t>
  </si>
  <si>
    <t>Risk Free Rate - Rf</t>
  </si>
  <si>
    <t>(Cost of Equity = Risk Free Rate + Beta * Equity Risk Premium)</t>
  </si>
  <si>
    <t>Number of Shares Outstanding</t>
  </si>
  <si>
    <t>Valuation Index</t>
  </si>
  <si>
    <t>Reinvestment</t>
  </si>
  <si>
    <t>Future Cash Flows (10 Yrs)</t>
  </si>
  <si>
    <t>Terminal Value</t>
  </si>
  <si>
    <t>Risk Free Rate - India</t>
  </si>
  <si>
    <t>Mature Company's Beta</t>
  </si>
  <si>
    <t>Present Value of TV</t>
  </si>
  <si>
    <t>Value of Equity</t>
  </si>
  <si>
    <t>Fair Value of the Share</t>
  </si>
  <si>
    <t>Present Value of Cash Flows</t>
  </si>
  <si>
    <t>Value of Equity Options</t>
  </si>
  <si>
    <t>Fair value of share</t>
  </si>
  <si>
    <t>Value of Common Stock</t>
  </si>
  <si>
    <t>Fair Value of Share</t>
  </si>
  <si>
    <t>Growth Rate in Perpetuity</t>
  </si>
  <si>
    <t>TV</t>
  </si>
  <si>
    <t>Financial Services</t>
  </si>
  <si>
    <t>Nifty50 (as on 20th July 2022)</t>
  </si>
  <si>
    <t>Beta (5Y, Monthly)</t>
  </si>
  <si>
    <t>Bottom Up Beta</t>
  </si>
  <si>
    <t>Beta (Axis Bank)</t>
  </si>
  <si>
    <t>Tier 1 Capital</t>
  </si>
  <si>
    <t>Book Equity</t>
  </si>
  <si>
    <t>Expected ROE</t>
  </si>
  <si>
    <t>Net Income</t>
  </si>
  <si>
    <t>FCFE</t>
  </si>
  <si>
    <t>RWA Growth (%)</t>
  </si>
  <si>
    <t>Industry Numbers</t>
  </si>
  <si>
    <t>ROE</t>
  </si>
  <si>
    <t>Mature Company Cost of Equity Estimation</t>
  </si>
  <si>
    <t>Mature Beta</t>
  </si>
  <si>
    <t>Free Cash Flows to Equity</t>
  </si>
  <si>
    <t>LTM</t>
  </si>
  <si>
    <t>Tier 1 Ratio (%)</t>
  </si>
  <si>
    <t>Chg. In Capital</t>
  </si>
  <si>
    <t>RWA</t>
  </si>
  <si>
    <t>Cash Flows and Fair Value</t>
  </si>
  <si>
    <t>Cash Flows &amp; Fair Value</t>
  </si>
  <si>
    <t>Present Vaue of FCFE</t>
  </si>
  <si>
    <t>Muthoot Finance Company Analysis</t>
  </si>
  <si>
    <t>Muthoot Finance</t>
  </si>
  <si>
    <t>Sector of Muthoot Finance</t>
  </si>
  <si>
    <t>Industry of Muthoot Finance</t>
  </si>
  <si>
    <t>NBFC</t>
  </si>
  <si>
    <t>Industry - NBFC</t>
  </si>
  <si>
    <t>NBFC Co.</t>
  </si>
  <si>
    <t>Bajaj Finance</t>
  </si>
  <si>
    <t>Bajaj Finserv</t>
  </si>
  <si>
    <t>SBI Cards</t>
  </si>
  <si>
    <t>Cholaman.Inv.&amp;Fn</t>
  </si>
  <si>
    <t>Bajaj Holdings</t>
  </si>
  <si>
    <t>HDFC AMC</t>
  </si>
  <si>
    <t>Shriram Trans.</t>
  </si>
  <si>
    <t>Max Financial</t>
  </si>
  <si>
    <t>M &amp; M Fin. Serv.</t>
  </si>
  <si>
    <t>Aditya Birla Cap</t>
  </si>
  <si>
    <t>Sundaram Finance</t>
  </si>
  <si>
    <t>Poonawalla Fin</t>
  </si>
  <si>
    <t>L&amp;T Fin.Holdings</t>
  </si>
  <si>
    <t>Nippon Life Ind.</t>
  </si>
  <si>
    <t>CreditAcc. Gram.</t>
  </si>
  <si>
    <t>BAJFINANCE</t>
  </si>
  <si>
    <t>BAJAJFINSV</t>
  </si>
  <si>
    <t>SBICARD</t>
  </si>
  <si>
    <t>CHOLAFIN</t>
  </si>
  <si>
    <t>BAJAJHLDNG</t>
  </si>
  <si>
    <t>HDFCAMC</t>
  </si>
  <si>
    <t>SRTRANSFIN</t>
  </si>
  <si>
    <t>MFSL</t>
  </si>
  <si>
    <t>M&amp;MFIN</t>
  </si>
  <si>
    <t>ABCAPITAL</t>
  </si>
  <si>
    <t>SUNDARMFIN</t>
  </si>
  <si>
    <t>POONAWALLA</t>
  </si>
  <si>
    <t>L&amp;TFH</t>
  </si>
  <si>
    <t>NAM-INDIA</t>
  </si>
  <si>
    <t>CREDITACC</t>
  </si>
  <si>
    <t>Future Cash Flows (10 Yrs) (in millions)</t>
  </si>
  <si>
    <t>Strict NBFC Co.</t>
  </si>
  <si>
    <t>Discounting Future Cash Flows to Present Value (in millions)</t>
  </si>
  <si>
    <t>Revenues</t>
  </si>
  <si>
    <t>Quarter</t>
  </si>
  <si>
    <t>FY22-Q4</t>
  </si>
  <si>
    <t>FY22-Q3</t>
  </si>
  <si>
    <t>FY22-Q2</t>
  </si>
  <si>
    <t>FY22-Q1</t>
  </si>
  <si>
    <t>FY21-Q4</t>
  </si>
  <si>
    <t>FY21-Q3</t>
  </si>
  <si>
    <t>FY21-Q2</t>
  </si>
  <si>
    <t>FY21-Q1</t>
  </si>
  <si>
    <t>FY20-Q1</t>
  </si>
  <si>
    <t>FY20-Q2</t>
  </si>
  <si>
    <t>FY20-Q3</t>
  </si>
  <si>
    <t>FY20-Q4</t>
  </si>
  <si>
    <t>FY19-Q4</t>
  </si>
  <si>
    <t>FY19-Q3</t>
  </si>
  <si>
    <t>FY19-Q2</t>
  </si>
  <si>
    <t>FY19-Q1</t>
  </si>
  <si>
    <t>FY18-Q4</t>
  </si>
  <si>
    <t>FY18-Q3</t>
  </si>
  <si>
    <t>FY18-Q2</t>
  </si>
  <si>
    <t>FY18-Q1</t>
  </si>
  <si>
    <t>FY17-Q1</t>
  </si>
  <si>
    <t>FY17-Q2</t>
  </si>
  <si>
    <t>FY17-Q3</t>
  </si>
  <si>
    <t>FY17-Q4</t>
  </si>
  <si>
    <t>FY16-Q4</t>
  </si>
  <si>
    <t>FY16-Q3</t>
  </si>
  <si>
    <t>FY16-Q2</t>
  </si>
  <si>
    <t>FY16-Q1</t>
  </si>
  <si>
    <t>FY15-Q4</t>
  </si>
  <si>
    <t>FY15-Q3</t>
  </si>
  <si>
    <t>FY15-Q2</t>
  </si>
  <si>
    <t>FY15-Q1</t>
  </si>
  <si>
    <t>FY14-Q4</t>
  </si>
  <si>
    <t>FY14-Q3</t>
  </si>
  <si>
    <t>FY14-Q2</t>
  </si>
  <si>
    <t>FY14-Q1</t>
  </si>
  <si>
    <t>FY13-Q4</t>
  </si>
  <si>
    <t>FY13-Q3</t>
  </si>
  <si>
    <t>FY13-Q2</t>
  </si>
  <si>
    <t>FY13-Q1</t>
  </si>
  <si>
    <t>FY12-Q1</t>
  </si>
  <si>
    <t>FY12-Q4</t>
  </si>
  <si>
    <t>FY12-Q3</t>
  </si>
  <si>
    <t>FY12-Q2</t>
  </si>
  <si>
    <t>Muthoot and Gold Relationship</t>
  </si>
  <si>
    <t>Gold (per g)</t>
  </si>
  <si>
    <t>R-squared</t>
  </si>
  <si>
    <t>Regression Results</t>
  </si>
  <si>
    <t>Adj. R-Squared</t>
  </si>
  <si>
    <t>F Significance</t>
  </si>
  <si>
    <t>(close to zero)</t>
  </si>
  <si>
    <t>Muthoot Finance's Revenues = -7032.16 + 7.05 * Gold Price (per 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</si>
</sst>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8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_);@_l"/>
    <numFmt numFmtId="168" formatCode="_-* #,##0.00\ &quot;€&quot;_-;\-* #,##0.00\ &quot;€&quot;_-;_-* &quot;-&quot;??\ &quot;€&quot;_-;_-@_-"/>
    <numFmt numFmtId="169" formatCode="_-* #,##0.00\ _€_-;\-* #,##0.00\ _€_-;_-* &quot;-&quot;??\ _€_-;_-@_-"/>
    <numFmt numFmtId="170" formatCode="_-* #,##0\ _D_M_-;\-* #,##0\ _D_M_-;_-* &quot;-&quot;\ _D_M_-;_-@_-"/>
    <numFmt numFmtId="171" formatCode="_-* #,##0.00\ &quot;Kc&quot;_-;\-* #,##0.00\ &quot;Kc&quot;_-;_-* &quot;-&quot;??\ &quot;Kc&quot;_-;_-@_-"/>
    <numFmt numFmtId="172" formatCode="\(0\'\)"/>
    <numFmt numFmtId="173" formatCode="0.00_)"/>
    <numFmt numFmtId="174" formatCode="#,##0;\(#,##0\);&quot;-&quot;"/>
    <numFmt numFmtId="175" formatCode="_-* #,##0_-;\-* #,##0_-;_-* &quot;-&quot;_-;_-@_-"/>
    <numFmt numFmtId="176" formatCode="#,##0_);\(#,##0\);&quot; - &quot;_);@_)"/>
    <numFmt numFmtId="177" formatCode="\ #,##0.0_);\(#,##0.0\);&quot; - &quot;_);@_)"/>
    <numFmt numFmtId="178" formatCode="_(* #,##0.00_);_(* \(#,##0.00\);_(* &quot;-&quot;?_);@_)"/>
    <numFmt numFmtId="179" formatCode="0.0"/>
    <numFmt numFmtId="180" formatCode="_ [$₹-4009]\ * #,##0.00_ ;_ [$₹-4009]\ * \-#,##0.00_ ;_ [$₹-4009]\ * &quot;-&quot;??_ ;_ @_ "/>
    <numFmt numFmtId="181" formatCode="[$₹-4009]\ #,##0.00;[$₹-4009]\ \-#,##0.00"/>
    <numFmt numFmtId="182" formatCode="_(* #,##0.000_);_(* \(#,##0.000\);_(* &quot;-&quot;?_);@_)"/>
    <numFmt numFmtId="183" formatCode="_ [$₹-4009]\ * #,##0.00_ ;_ [$₹-4009]\ * \-#,##0.00_ ;_ [$₹-4009]\ * &quot;-&quot;?_ ;_ @_ "/>
    <numFmt numFmtId="184" formatCode="[$₹-4009]\ #,##0.0"/>
    <numFmt numFmtId="185" formatCode="[$-409]mmm\-yy;@"/>
    <numFmt numFmtId="186" formatCode="[$₹-4009]\ #,##0.00"/>
    <numFmt numFmtId="187" formatCode="0.000E+00"/>
    <numFmt numFmtId="188" formatCode="_ [$₹-4009]\ * #,##0_ ;_ [$₹-4009]\ * \-#,##0_ ;_ [$₹-4009]\ * &quot;-&quot;??_ ;_ @_ "/>
  </numFmts>
  <fonts count="7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i/>
      <sz val="9"/>
      <color theme="1"/>
      <name val="Arial"/>
      <family val="2"/>
    </font>
    <font>
      <b/>
      <i/>
      <sz val="9"/>
      <color theme="1"/>
      <name val="Arial"/>
      <family val="2"/>
    </font>
    <font>
      <i/>
      <sz val="9"/>
      <name val="Arial"/>
      <family val="2"/>
    </font>
    <font>
      <b/>
      <i/>
      <sz val="9"/>
      <color theme="0"/>
      <name val="Arial"/>
      <family val="2"/>
    </font>
    <font>
      <b/>
      <sz val="32"/>
      <name val="Arial"/>
      <family val="2"/>
    </font>
    <font>
      <b/>
      <sz val="9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04"/>
    </font>
    <font>
      <b/>
      <sz val="40"/>
      <color theme="1" tint="4.9989318521683403E-2"/>
      <name val="Arial"/>
      <family val="2"/>
      <charset val="204"/>
    </font>
    <font>
      <sz val="10"/>
      <color rgb="FF002060"/>
      <name val="Arial"/>
      <family val="2"/>
      <charset val="204"/>
    </font>
    <font>
      <i/>
      <sz val="8"/>
      <name val="Arial"/>
      <family val="2"/>
    </font>
    <font>
      <b/>
      <i/>
      <sz val="9"/>
      <name val="Arial"/>
      <family val="2"/>
    </font>
    <font>
      <i/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169">
    <xf numFmtId="0" fontId="0" fillId="0" borderId="0"/>
    <xf numFmtId="0" fontId="3" fillId="0" borderId="1" applyFill="0" applyProtection="0">
      <alignment horizontal="right" wrapText="1"/>
    </xf>
    <xf numFmtId="9" fontId="5" fillId="0" borderId="0" applyFont="0" applyFill="0" applyBorder="0" applyAlignment="0" applyProtection="0"/>
    <xf numFmtId="0" fontId="9" fillId="0" borderId="0"/>
    <xf numFmtId="0" fontId="9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3" borderId="3"/>
    <xf numFmtId="0" fontId="12" fillId="0" borderId="0"/>
    <xf numFmtId="0" fontId="9" fillId="0" borderId="0"/>
    <xf numFmtId="0" fontId="9" fillId="0" borderId="0"/>
    <xf numFmtId="0" fontId="12" fillId="0" borderId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9" fillId="0" borderId="0"/>
    <xf numFmtId="0" fontId="16" fillId="5" borderId="0" applyNumberFormat="0" applyBorder="0" applyAlignment="0" applyProtection="0"/>
    <xf numFmtId="0" fontId="17" fillId="22" borderId="4" applyNumberFormat="0" applyAlignment="0" applyProtection="0"/>
    <xf numFmtId="0" fontId="18" fillId="23" borderId="5" applyNumberFormat="0" applyAlignment="0" applyProtection="0"/>
    <xf numFmtId="49" fontId="10" fillId="0" borderId="0">
      <alignment horizontal="left" vertical="top" wrapText="1"/>
    </xf>
    <xf numFmtId="168" fontId="9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38" fontId="10" fillId="24" borderId="0" applyNumberFormat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4" applyNumberFormat="0" applyAlignment="0" applyProtection="0"/>
    <xf numFmtId="10" fontId="10" fillId="3" borderId="9" applyNumberFormat="0" applyBorder="0" applyAlignment="0" applyProtection="0"/>
    <xf numFmtId="0" fontId="25" fillId="0" borderId="10" applyNumberFormat="0" applyFill="0" applyAlignment="0" applyProtection="0"/>
    <xf numFmtId="171" fontId="26" fillId="0" borderId="0" applyFont="0" applyFill="0" applyBorder="0" applyAlignment="0" applyProtection="0"/>
    <xf numFmtId="170" fontId="9" fillId="0" borderId="0" applyFont="0" applyFill="0" applyBorder="0" applyAlignment="0" applyProtection="0"/>
    <xf numFmtId="4" fontId="27" fillId="0" borderId="0" applyFont="0" applyFill="0" applyBorder="0" applyAlignment="0" applyProtection="0"/>
    <xf numFmtId="42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0" fontId="28" fillId="25" borderId="0" applyNumberFormat="0" applyBorder="0" applyAlignment="0" applyProtection="0"/>
    <xf numFmtId="173" fontId="29" fillId="0" borderId="0"/>
    <xf numFmtId="0" fontId="26" fillId="0" borderId="0"/>
    <xf numFmtId="0" fontId="14" fillId="26" borderId="11" applyNumberFormat="0" applyFon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1" fillId="22" borderId="12" applyNumberFormat="0" applyAlignment="0" applyProtection="0"/>
    <xf numFmtId="9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0" fillId="0" borderId="0" applyNumberFormat="0" applyFont="0" applyFill="0" applyBorder="0" applyAlignment="0" applyProtection="0">
      <alignment horizontal="left"/>
    </xf>
    <xf numFmtId="15" fontId="30" fillId="0" borderId="0" applyFont="0" applyFill="0" applyBorder="0" applyAlignment="0" applyProtection="0"/>
    <xf numFmtId="4" fontId="30" fillId="0" borderId="0" applyFont="0" applyFill="0" applyBorder="0" applyAlignment="0" applyProtection="0"/>
    <xf numFmtId="0" fontId="32" fillId="0" borderId="13">
      <alignment horizontal="center"/>
    </xf>
    <xf numFmtId="3" fontId="30" fillId="0" borderId="0" applyFont="0" applyFill="0" applyBorder="0" applyAlignment="0" applyProtection="0"/>
    <xf numFmtId="0" fontId="30" fillId="27" borderId="0" applyNumberFormat="0" applyFont="0" applyBorder="0" applyAlignment="0" applyProtection="0"/>
    <xf numFmtId="3" fontId="42" fillId="28" borderId="0" applyFont="0" applyFill="0" applyBorder="0" applyAlignment="0" applyProtection="0"/>
    <xf numFmtId="4" fontId="33" fillId="29" borderId="12" applyNumberFormat="0" applyProtection="0">
      <alignment vertical="center"/>
    </xf>
    <xf numFmtId="4" fontId="34" fillId="29" borderId="12" applyNumberFormat="0" applyProtection="0">
      <alignment vertical="center"/>
    </xf>
    <xf numFmtId="4" fontId="33" fillId="29" borderId="12" applyNumberFormat="0" applyProtection="0">
      <alignment horizontal="left" vertical="center" indent="1"/>
    </xf>
    <xf numFmtId="4" fontId="33" fillId="29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4" fontId="33" fillId="31" borderId="12" applyNumberFormat="0" applyProtection="0">
      <alignment horizontal="right" vertical="center"/>
    </xf>
    <xf numFmtId="4" fontId="33" fillId="32" borderId="12" applyNumberFormat="0" applyProtection="0">
      <alignment horizontal="right" vertical="center"/>
    </xf>
    <xf numFmtId="4" fontId="33" fillId="33" borderId="12" applyNumberFormat="0" applyProtection="0">
      <alignment horizontal="right" vertical="center"/>
    </xf>
    <xf numFmtId="4" fontId="33" fillId="34" borderId="12" applyNumberFormat="0" applyProtection="0">
      <alignment horizontal="right" vertical="center"/>
    </xf>
    <xf numFmtId="4" fontId="33" fillId="35" borderId="12" applyNumberFormat="0" applyProtection="0">
      <alignment horizontal="right" vertical="center"/>
    </xf>
    <xf numFmtId="4" fontId="33" fillId="36" borderId="12" applyNumberFormat="0" applyProtection="0">
      <alignment horizontal="right" vertical="center"/>
    </xf>
    <xf numFmtId="4" fontId="33" fillId="37" borderId="12" applyNumberFormat="0" applyProtection="0">
      <alignment horizontal="right" vertical="center"/>
    </xf>
    <xf numFmtId="4" fontId="33" fillId="38" borderId="12" applyNumberFormat="0" applyProtection="0">
      <alignment horizontal="right" vertical="center"/>
    </xf>
    <xf numFmtId="4" fontId="33" fillId="39" borderId="12" applyNumberFormat="0" applyProtection="0">
      <alignment horizontal="right" vertical="center"/>
    </xf>
    <xf numFmtId="4" fontId="35" fillId="40" borderId="12" applyNumberFormat="0" applyProtection="0">
      <alignment horizontal="left" vertical="center" indent="1"/>
    </xf>
    <xf numFmtId="4" fontId="33" fillId="41" borderId="14" applyNumberFormat="0" applyProtection="0">
      <alignment horizontal="left" vertical="center" indent="1"/>
    </xf>
    <xf numFmtId="4" fontId="36" fillId="42" borderId="0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4" fontId="33" fillId="41" borderId="12" applyNumberFormat="0" applyProtection="0">
      <alignment horizontal="left" vertical="center" indent="1"/>
    </xf>
    <xf numFmtId="4" fontId="33" fillId="43" borderId="12" applyNumberFormat="0" applyProtection="0">
      <alignment horizontal="left" vertical="center" indent="1"/>
    </xf>
    <xf numFmtId="0" fontId="9" fillId="43" borderId="12" applyNumberFormat="0" applyProtection="0">
      <alignment horizontal="left" vertical="center" indent="1"/>
    </xf>
    <xf numFmtId="0" fontId="9" fillId="43" borderId="12" applyNumberFormat="0" applyProtection="0">
      <alignment horizontal="left" vertical="center" indent="1"/>
    </xf>
    <xf numFmtId="0" fontId="9" fillId="44" borderId="12" applyNumberFormat="0" applyProtection="0">
      <alignment horizontal="left" vertical="center" indent="1"/>
    </xf>
    <xf numFmtId="0" fontId="9" fillId="44" borderId="12" applyNumberFormat="0" applyProtection="0">
      <alignment horizontal="left" vertical="center" indent="1"/>
    </xf>
    <xf numFmtId="0" fontId="9" fillId="24" borderId="12" applyNumberFormat="0" applyProtection="0">
      <alignment horizontal="left" vertical="center" indent="1"/>
    </xf>
    <xf numFmtId="0" fontId="9" fillId="24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4" fontId="33" fillId="3" borderId="12" applyNumberFormat="0" applyProtection="0">
      <alignment vertical="center"/>
    </xf>
    <xf numFmtId="4" fontId="34" fillId="3" borderId="12" applyNumberFormat="0" applyProtection="0">
      <alignment vertical="center"/>
    </xf>
    <xf numFmtId="4" fontId="33" fillId="3" borderId="12" applyNumberFormat="0" applyProtection="0">
      <alignment horizontal="left" vertical="center" indent="1"/>
    </xf>
    <xf numFmtId="4" fontId="33" fillId="3" borderId="12" applyNumberFormat="0" applyProtection="0">
      <alignment horizontal="left" vertical="center" indent="1"/>
    </xf>
    <xf numFmtId="4" fontId="33" fillId="41" borderId="12" applyNumberFormat="0" applyProtection="0">
      <alignment horizontal="right" vertical="center"/>
    </xf>
    <xf numFmtId="4" fontId="34" fillId="41" borderId="12" applyNumberFormat="0" applyProtection="0">
      <alignment horizontal="right" vertical="center"/>
    </xf>
    <xf numFmtId="0" fontId="9" fillId="30" borderId="12" applyNumberFormat="0" applyProtection="0">
      <alignment horizontal="left" vertical="center" indent="1"/>
    </xf>
    <xf numFmtId="0" fontId="9" fillId="30" borderId="12" applyNumberFormat="0" applyProtection="0">
      <alignment horizontal="left" vertical="center" indent="1"/>
    </xf>
    <xf numFmtId="0" fontId="37" fillId="0" borderId="0"/>
    <xf numFmtId="4" fontId="11" fillId="41" borderId="12" applyNumberFormat="0" applyProtection="0">
      <alignment horizontal="right" vertical="center"/>
    </xf>
    <xf numFmtId="0" fontId="9" fillId="0" borderId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3" fontId="40" fillId="0" borderId="2" applyNumberFormat="0"/>
    <xf numFmtId="0" fontId="4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43" fillId="0" borderId="0"/>
    <xf numFmtId="0" fontId="9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44" fillId="0" borderId="0" applyNumberFormat="0" applyFont="0" applyFill="0" applyBorder="0" applyAlignment="0" applyProtection="0"/>
    <xf numFmtId="0" fontId="45" fillId="0" borderId="0"/>
    <xf numFmtId="0" fontId="46" fillId="0" borderId="0"/>
    <xf numFmtId="174" fontId="47" fillId="0" borderId="0"/>
    <xf numFmtId="174" fontId="9" fillId="0" borderId="0"/>
    <xf numFmtId="174" fontId="49" fillId="0" borderId="0"/>
    <xf numFmtId="0" fontId="50" fillId="0" borderId="0">
      <alignment horizontal="left"/>
    </xf>
    <xf numFmtId="175" fontId="48" fillId="0" borderId="16" applyFill="0" applyBorder="0" applyProtection="0">
      <alignment horizontal="right" vertical="top"/>
    </xf>
    <xf numFmtId="174" fontId="51" fillId="0" borderId="16">
      <alignment horizontal="left"/>
    </xf>
    <xf numFmtId="0" fontId="50" fillId="0" borderId="16">
      <alignment horizontal="right" wrapText="1"/>
    </xf>
    <xf numFmtId="0" fontId="48" fillId="0" borderId="0" applyFill="0" applyBorder="0">
      <alignment horizontal="left" vertical="top" wrapText="1"/>
    </xf>
    <xf numFmtId="176" fontId="48" fillId="0" borderId="0" applyFill="0" applyBorder="0">
      <alignment horizontal="right" vertical="top"/>
    </xf>
    <xf numFmtId="177" fontId="48" fillId="0" borderId="0" applyFill="0" applyBorder="0">
      <alignment horizontal="right" vertical="top"/>
    </xf>
    <xf numFmtId="49" fontId="48" fillId="0" borderId="0" applyNumberFormat="0" applyFill="0" applyBorder="0" applyProtection="0">
      <alignment horizontal="center" vertical="top"/>
    </xf>
    <xf numFmtId="174" fontId="52" fillId="0" borderId="0">
      <alignment horizontal="left" vertical="top"/>
    </xf>
    <xf numFmtId="0" fontId="53" fillId="0" borderId="0"/>
    <xf numFmtId="0" fontId="5" fillId="0" borderId="0"/>
    <xf numFmtId="0" fontId="54" fillId="0" borderId="0"/>
    <xf numFmtId="0" fontId="5" fillId="0" borderId="0"/>
    <xf numFmtId="16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5" fillId="0" borderId="0"/>
    <xf numFmtId="0" fontId="56" fillId="0" borderId="0"/>
    <xf numFmtId="0" fontId="57" fillId="0" borderId="0"/>
    <xf numFmtId="0" fontId="58" fillId="0" borderId="0"/>
    <xf numFmtId="0" fontId="58" fillId="0" borderId="0"/>
    <xf numFmtId="0" fontId="55" fillId="0" borderId="0"/>
    <xf numFmtId="0" fontId="56" fillId="0" borderId="0"/>
    <xf numFmtId="0" fontId="57" fillId="0" borderId="0"/>
    <xf numFmtId="0" fontId="61" fillId="0" borderId="0" applyNumberFormat="0" applyFill="0" applyBorder="0" applyAlignment="0" applyProtection="0"/>
    <xf numFmtId="44" fontId="9" fillId="0" borderId="0" applyFont="0" applyFill="0" applyBorder="0" applyAlignment="0" applyProtection="0"/>
    <xf numFmtId="0" fontId="70" fillId="0" borderId="0">
      <alignment vertical="top"/>
    </xf>
    <xf numFmtId="43" fontId="71" fillId="0" borderId="0">
      <alignment vertical="top"/>
    </xf>
  </cellStyleXfs>
  <cellXfs count="301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1" fillId="2" borderId="0" xfId="0" applyNumberFormat="1" applyFont="1" applyFill="1" applyBorder="1"/>
    <xf numFmtId="9" fontId="1" fillId="2" borderId="0" xfId="2" applyFont="1" applyFill="1"/>
    <xf numFmtId="167" fontId="1" fillId="2" borderId="0" xfId="0" applyNumberFormat="1" applyFont="1" applyFill="1"/>
    <xf numFmtId="165" fontId="1" fillId="2" borderId="0" xfId="0" applyNumberFormat="1" applyFont="1" applyFill="1" applyBorder="1"/>
    <xf numFmtId="164" fontId="1" fillId="2" borderId="0" xfId="0" applyNumberFormat="1" applyFont="1" applyFill="1" applyBorder="1" applyAlignment="1">
      <alignment horizontal="right"/>
    </xf>
    <xf numFmtId="178" fontId="1" fillId="2" borderId="0" xfId="0" applyNumberFormat="1" applyFont="1" applyFill="1"/>
    <xf numFmtId="0" fontId="60" fillId="2" borderId="0" xfId="0" applyFont="1" applyFill="1"/>
    <xf numFmtId="2" fontId="1" fillId="2" borderId="0" xfId="0" applyNumberFormat="1" applyFont="1" applyFill="1"/>
    <xf numFmtId="178" fontId="1" fillId="2" borderId="0" xfId="0" applyNumberFormat="1" applyFont="1" applyFill="1" applyBorder="1"/>
    <xf numFmtId="10" fontId="1" fillId="2" borderId="0" xfId="2" applyNumberFormat="1" applyFont="1" applyFill="1"/>
    <xf numFmtId="0" fontId="1" fillId="2" borderId="0" xfId="0" applyNumberFormat="1" applyFont="1" applyFill="1"/>
    <xf numFmtId="9" fontId="4" fillId="2" borderId="0" xfId="2" applyFont="1" applyFill="1" applyBorder="1"/>
    <xf numFmtId="10" fontId="8" fillId="2" borderId="0" xfId="2" applyNumberFormat="1" applyFont="1" applyFill="1"/>
    <xf numFmtId="164" fontId="63" fillId="2" borderId="0" xfId="0" applyNumberFormat="1" applyFont="1" applyFill="1"/>
    <xf numFmtId="165" fontId="1" fillId="46" borderId="0" xfId="0" applyNumberFormat="1" applyFont="1" applyFill="1" applyBorder="1"/>
    <xf numFmtId="164" fontId="1" fillId="46" borderId="0" xfId="0" applyNumberFormat="1" applyFont="1" applyFill="1" applyBorder="1"/>
    <xf numFmtId="10" fontId="6" fillId="2" borderId="0" xfId="2" applyNumberFormat="1" applyFont="1" applyFill="1" applyBorder="1"/>
    <xf numFmtId="164" fontId="4" fillId="2" borderId="0" xfId="0" applyNumberFormat="1" applyFont="1" applyFill="1" applyBorder="1" applyAlignment="1">
      <alignment wrapText="1"/>
    </xf>
    <xf numFmtId="164" fontId="2" fillId="2" borderId="0" xfId="0" applyNumberFormat="1" applyFont="1" applyFill="1" applyBorder="1" applyAlignment="1">
      <alignment horizontal="right" wrapText="1"/>
    </xf>
    <xf numFmtId="164" fontId="2" fillId="2" borderId="0" xfId="0" applyNumberFormat="1" applyFont="1" applyFill="1" applyBorder="1"/>
    <xf numFmtId="165" fontId="2" fillId="2" borderId="0" xfId="0" applyNumberFormat="1" applyFont="1" applyFill="1" applyBorder="1"/>
    <xf numFmtId="164" fontId="1" fillId="2" borderId="0" xfId="0" applyNumberFormat="1" applyFont="1" applyFill="1" applyBorder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8" fillId="45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4" fontId="1" fillId="46" borderId="0" xfId="0" applyNumberFormat="1" applyFont="1" applyFill="1"/>
    <xf numFmtId="164" fontId="60" fillId="2" borderId="0" xfId="0" applyNumberFormat="1" applyFont="1" applyFill="1" applyBorder="1"/>
    <xf numFmtId="164" fontId="60" fillId="2" borderId="0" xfId="0" applyNumberFormat="1" applyFont="1" applyFill="1" applyBorder="1" applyAlignment="1">
      <alignment horizontal="right"/>
    </xf>
    <xf numFmtId="164" fontId="40" fillId="2" borderId="0" xfId="0" applyNumberFormat="1" applyFont="1" applyFill="1" applyBorder="1"/>
    <xf numFmtId="164" fontId="60" fillId="2" borderId="0" xfId="0" applyNumberFormat="1" applyFont="1" applyFill="1" applyBorder="1" applyAlignment="1">
      <alignment horizontal="left" vertical="center"/>
    </xf>
    <xf numFmtId="0" fontId="68" fillId="2" borderId="0" xfId="0" applyFont="1" applyFill="1"/>
    <xf numFmtId="0" fontId="62" fillId="2" borderId="0" xfId="0" applyFont="1" applyFill="1"/>
    <xf numFmtId="0" fontId="40" fillId="2" borderId="0" xfId="0" applyFont="1" applyFill="1"/>
    <xf numFmtId="0" fontId="10" fillId="2" borderId="0" xfId="0" applyFont="1" applyFill="1" applyAlignment="1">
      <alignment horizontal="left"/>
    </xf>
    <xf numFmtId="0" fontId="60" fillId="2" borderId="0" xfId="165" applyFont="1" applyFill="1"/>
    <xf numFmtId="0" fontId="59" fillId="45" borderId="0" xfId="0" applyFont="1" applyFill="1" applyAlignment="1">
      <alignment horizontal="left"/>
    </xf>
    <xf numFmtId="0" fontId="8" fillId="45" borderId="0" xfId="0" applyFont="1" applyFill="1"/>
    <xf numFmtId="165" fontId="2" fillId="46" borderId="0" xfId="0" applyNumberFormat="1" applyFont="1" applyFill="1" applyBorder="1"/>
    <xf numFmtId="9" fontId="40" fillId="2" borderId="0" xfId="2" applyFont="1" applyFill="1" applyBorder="1" applyAlignment="1">
      <alignment horizontal="right"/>
    </xf>
    <xf numFmtId="0" fontId="8" fillId="2" borderId="0" xfId="133" applyNumberFormat="1" applyFont="1" applyFill="1" applyBorder="1" applyAlignment="1">
      <alignment vertical="center"/>
    </xf>
    <xf numFmtId="164" fontId="64" fillId="2" borderId="0" xfId="0" applyNumberFormat="1" applyFont="1" applyFill="1" applyBorder="1"/>
    <xf numFmtId="10" fontId="1" fillId="2" borderId="0" xfId="2" applyNumberFormat="1" applyFont="1" applyFill="1" applyBorder="1"/>
    <xf numFmtId="165" fontId="2" fillId="2" borderId="0" xfId="0" applyNumberFormat="1" applyFont="1" applyFill="1" applyBorder="1" applyAlignment="1">
      <alignment horizontal="right"/>
    </xf>
    <xf numFmtId="164" fontId="2" fillId="46" borderId="2" xfId="0" applyNumberFormat="1" applyFont="1" applyFill="1" applyBorder="1"/>
    <xf numFmtId="165" fontId="2" fillId="46" borderId="0" xfId="0" applyNumberFormat="1" applyFont="1" applyFill="1" applyBorder="1" applyAlignment="1">
      <alignment horizontal="right"/>
    </xf>
    <xf numFmtId="164" fontId="2" fillId="46" borderId="0" xfId="0" applyNumberFormat="1" applyFont="1" applyFill="1"/>
    <xf numFmtId="164" fontId="64" fillId="46" borderId="0" xfId="0" applyNumberFormat="1" applyFont="1" applyFill="1"/>
    <xf numFmtId="164" fontId="65" fillId="2" borderId="0" xfId="0" applyNumberFormat="1" applyFont="1" applyFill="1" applyBorder="1"/>
    <xf numFmtId="10" fontId="1" fillId="46" borderId="0" xfId="2" applyNumberFormat="1" applyFont="1" applyFill="1" applyBorder="1"/>
    <xf numFmtId="10" fontId="8" fillId="45" borderId="0" xfId="2" applyNumberFormat="1" applyFont="1" applyFill="1" applyBorder="1"/>
    <xf numFmtId="166" fontId="1" fillId="46" borderId="0" xfId="2" applyNumberFormat="1" applyFont="1" applyFill="1" applyBorder="1"/>
    <xf numFmtId="164" fontId="1" fillId="46" borderId="0" xfId="0" applyNumberFormat="1" applyFont="1" applyFill="1" applyBorder="1" applyAlignment="1">
      <alignment horizontal="right"/>
    </xf>
    <xf numFmtId="10" fontId="8" fillId="2" borderId="0" xfId="2" applyNumberFormat="1" applyFont="1" applyFill="1" applyBorder="1"/>
    <xf numFmtId="0" fontId="70" fillId="2" borderId="0" xfId="167" applyFill="1">
      <alignment vertical="top"/>
    </xf>
    <xf numFmtId="0" fontId="72" fillId="2" borderId="0" xfId="167" applyFont="1" applyFill="1">
      <alignment vertical="top"/>
    </xf>
    <xf numFmtId="0" fontId="73" fillId="2" borderId="0" xfId="167" applyFont="1" applyFill="1">
      <alignment vertical="top"/>
    </xf>
    <xf numFmtId="0" fontId="70" fillId="0" borderId="0" xfId="167">
      <alignment vertical="top"/>
    </xf>
    <xf numFmtId="0" fontId="69" fillId="2" borderId="0" xfId="1" applyFont="1" applyFill="1" applyBorder="1" applyAlignment="1">
      <alignment horizontal="left" wrapText="1"/>
    </xf>
    <xf numFmtId="0" fontId="1" fillId="2" borderId="0" xfId="2" applyNumberFormat="1" applyFont="1" applyFill="1" applyBorder="1"/>
    <xf numFmtId="0" fontId="1" fillId="2" borderId="0" xfId="0" applyNumberFormat="1" applyFont="1" applyFill="1" applyBorder="1"/>
    <xf numFmtId="0" fontId="2" fillId="2" borderId="0" xfId="0" applyNumberFormat="1" applyFont="1" applyFill="1" applyBorder="1"/>
    <xf numFmtId="164" fontId="2" fillId="2" borderId="0" xfId="0" applyNumberFormat="1" applyFont="1" applyFill="1" applyBorder="1" applyAlignment="1">
      <alignment horizontal="right"/>
    </xf>
    <xf numFmtId="0" fontId="1" fillId="2" borderId="0" xfId="2" applyNumberFormat="1" applyFont="1" applyFill="1" applyBorder="1" applyAlignment="1">
      <alignment horizontal="right"/>
    </xf>
    <xf numFmtId="0" fontId="1" fillId="2" borderId="0" xfId="2" applyNumberFormat="1" applyFont="1" applyFill="1" applyBorder="1" applyAlignment="1">
      <alignment horizontal="right" vertical="center"/>
    </xf>
    <xf numFmtId="0" fontId="1" fillId="46" borderId="0" xfId="2" applyNumberFormat="1" applyFont="1" applyFill="1" applyBorder="1" applyAlignment="1">
      <alignment horizontal="right" vertical="center"/>
    </xf>
    <xf numFmtId="0" fontId="8" fillId="45" borderId="0" xfId="0" applyNumberFormat="1" applyFont="1" applyFill="1" applyAlignment="1">
      <alignment horizontal="right" vertical="center"/>
    </xf>
    <xf numFmtId="164" fontId="8" fillId="45" borderId="0" xfId="0" applyNumberFormat="1" applyFont="1" applyFill="1" applyBorder="1" applyAlignment="1">
      <alignment horizontal="right" vertical="center"/>
    </xf>
    <xf numFmtId="181" fontId="1" fillId="46" borderId="0" xfId="0" applyNumberFormat="1" applyFont="1" applyFill="1" applyBorder="1" applyAlignment="1">
      <alignment horizontal="right" vertical="center"/>
    </xf>
    <xf numFmtId="164" fontId="8" fillId="45" borderId="0" xfId="0" applyNumberFormat="1" applyFont="1" applyFill="1" applyBorder="1" applyAlignment="1">
      <alignment horizontal="right"/>
    </xf>
    <xf numFmtId="10" fontId="64" fillId="46" borderId="0" xfId="2" applyNumberFormat="1" applyFont="1" applyFill="1" applyBorder="1" applyAlignment="1">
      <alignment horizontal="right"/>
    </xf>
    <xf numFmtId="10" fontId="40" fillId="2" borderId="0" xfId="2" applyNumberFormat="1" applyFont="1" applyFill="1" applyBorder="1"/>
    <xf numFmtId="10" fontId="2" fillId="2" borderId="0" xfId="2" applyNumberFormat="1" applyFont="1" applyFill="1" applyBorder="1"/>
    <xf numFmtId="165" fontId="2" fillId="2" borderId="18" xfId="0" applyNumberFormat="1" applyFont="1" applyFill="1" applyBorder="1" applyAlignment="1">
      <alignment horizontal="right"/>
    </xf>
    <xf numFmtId="164" fontId="2" fillId="46" borderId="0" xfId="0" applyNumberFormat="1" applyFont="1" applyFill="1" applyBorder="1" applyAlignment="1">
      <alignment horizontal="right"/>
    </xf>
    <xf numFmtId="164" fontId="2" fillId="2" borderId="18" xfId="0" applyNumberFormat="1" applyFont="1" applyFill="1" applyBorder="1"/>
    <xf numFmtId="0" fontId="64" fillId="2" borderId="0" xfId="2" applyNumberFormat="1" applyFont="1" applyFill="1" applyBorder="1"/>
    <xf numFmtId="164" fontId="66" fillId="2" borderId="0" xfId="165" applyNumberFormat="1" applyFont="1" applyFill="1" applyBorder="1"/>
    <xf numFmtId="181" fontId="2" fillId="2" borderId="0" xfId="0" applyNumberFormat="1" applyFont="1" applyFill="1" applyBorder="1" applyAlignment="1">
      <alignment horizontal="right"/>
    </xf>
    <xf numFmtId="10" fontId="2" fillId="2" borderId="0" xfId="2" applyNumberFormat="1" applyFont="1" applyFill="1" applyBorder="1" applyAlignment="1">
      <alignment horizontal="right"/>
    </xf>
    <xf numFmtId="10" fontId="1" fillId="2" borderId="0" xfId="2" applyNumberFormat="1" applyFont="1" applyFill="1" applyBorder="1" applyAlignment="1">
      <alignment horizontal="right"/>
    </xf>
    <xf numFmtId="0" fontId="1" fillId="46" borderId="0" xfId="2" applyNumberFormat="1" applyFont="1" applyFill="1" applyBorder="1" applyAlignment="1">
      <alignment horizontal="right"/>
    </xf>
    <xf numFmtId="10" fontId="1" fillId="46" borderId="0" xfId="2" applyNumberFormat="1" applyFont="1" applyFill="1" applyBorder="1" applyAlignment="1">
      <alignment horizontal="right"/>
    </xf>
    <xf numFmtId="0" fontId="8" fillId="45" borderId="0" xfId="0" applyNumberFormat="1" applyFont="1" applyFill="1" applyAlignment="1">
      <alignment horizontal="right"/>
    </xf>
    <xf numFmtId="10" fontId="1" fillId="2" borderId="18" xfId="2" applyNumberFormat="1" applyFont="1" applyFill="1" applyBorder="1" applyAlignment="1">
      <alignment horizontal="right"/>
    </xf>
    <xf numFmtId="164" fontId="64" fillId="2" borderId="0" xfId="165" applyNumberFormat="1" applyFont="1" applyFill="1" applyBorder="1"/>
    <xf numFmtId="181" fontId="2" fillId="46" borderId="0" xfId="0" applyNumberFormat="1" applyFont="1" applyFill="1" applyBorder="1"/>
    <xf numFmtId="10" fontId="40" fillId="46" borderId="0" xfId="2" applyNumberFormat="1" applyFont="1" applyFill="1" applyBorder="1"/>
    <xf numFmtId="10" fontId="2" fillId="46" borderId="0" xfId="2" applyNumberFormat="1" applyFont="1" applyFill="1" applyBorder="1"/>
    <xf numFmtId="181" fontId="2" fillId="46" borderId="0" xfId="0" applyNumberFormat="1" applyFont="1" applyFill="1" applyBorder="1" applyAlignment="1">
      <alignment horizontal="right"/>
    </xf>
    <xf numFmtId="10" fontId="2" fillId="46" borderId="0" xfId="2" applyNumberFormat="1" applyFont="1" applyFill="1" applyBorder="1" applyAlignment="1">
      <alignment horizontal="right"/>
    </xf>
    <xf numFmtId="181" fontId="8" fillId="45" borderId="0" xfId="0" applyNumberFormat="1" applyFont="1" applyFill="1" applyBorder="1"/>
    <xf numFmtId="181" fontId="1" fillId="46" borderId="0" xfId="0" applyNumberFormat="1" applyFont="1" applyFill="1" applyAlignment="1">
      <alignment horizontal="right"/>
    </xf>
    <xf numFmtId="164" fontId="1" fillId="46" borderId="0" xfId="0" applyNumberFormat="1" applyFont="1" applyFill="1" applyAlignment="1">
      <alignment horizontal="right"/>
    </xf>
    <xf numFmtId="178" fontId="8" fillId="45" borderId="0" xfId="0" applyNumberFormat="1" applyFont="1" applyFill="1" applyBorder="1" applyAlignment="1">
      <alignment horizontal="right"/>
    </xf>
    <xf numFmtId="165" fontId="8" fillId="45" borderId="0" xfId="0" applyNumberFormat="1" applyFont="1" applyFill="1" applyBorder="1" applyAlignment="1">
      <alignment horizontal="right"/>
    </xf>
    <xf numFmtId="178" fontId="2" fillId="2" borderId="0" xfId="0" applyNumberFormat="1" applyFont="1" applyFill="1" applyBorder="1" applyAlignment="1">
      <alignment horizontal="right"/>
    </xf>
    <xf numFmtId="0" fontId="1" fillId="2" borderId="0" xfId="0" applyNumberFormat="1" applyFont="1" applyFill="1" applyBorder="1" applyAlignment="1">
      <alignment horizontal="right"/>
    </xf>
    <xf numFmtId="179" fontId="1" fillId="2" borderId="0" xfId="2" applyNumberFormat="1" applyFont="1" applyFill="1"/>
    <xf numFmtId="182" fontId="1" fillId="2" borderId="0" xfId="0" applyNumberFormat="1" applyFont="1" applyFill="1"/>
    <xf numFmtId="164" fontId="8" fillId="2" borderId="0" xfId="0" applyNumberFormat="1" applyFont="1" applyFill="1" applyBorder="1" applyAlignment="1">
      <alignment horizontal="right"/>
    </xf>
    <xf numFmtId="178" fontId="2" fillId="46" borderId="0" xfId="0" applyNumberFormat="1" applyFont="1" applyFill="1" applyBorder="1" applyAlignment="1">
      <alignment horizontal="right"/>
    </xf>
    <xf numFmtId="0" fontId="1" fillId="46" borderId="0" xfId="0" applyNumberFormat="1" applyFont="1" applyFill="1"/>
    <xf numFmtId="0" fontId="1" fillId="46" borderId="0" xfId="0" applyNumberFormat="1" applyFont="1" applyFill="1" applyBorder="1" applyAlignment="1">
      <alignment horizontal="right"/>
    </xf>
    <xf numFmtId="0" fontId="1" fillId="46" borderId="0" xfId="2" applyNumberFormat="1" applyFont="1" applyFill="1"/>
    <xf numFmtId="10" fontId="1" fillId="46" borderId="0" xfId="2" applyNumberFormat="1" applyFont="1" applyFill="1"/>
    <xf numFmtId="164" fontId="2" fillId="46" borderId="0" xfId="0" applyNumberFormat="1" applyFont="1" applyFill="1" applyBorder="1"/>
    <xf numFmtId="10" fontId="1" fillId="46" borderId="0" xfId="0" applyNumberFormat="1" applyFont="1" applyFill="1"/>
    <xf numFmtId="164" fontId="2" fillId="46" borderId="18" xfId="0" applyNumberFormat="1" applyFont="1" applyFill="1" applyBorder="1"/>
    <xf numFmtId="10" fontId="1" fillId="46" borderId="18" xfId="0" applyNumberFormat="1" applyFont="1" applyFill="1" applyBorder="1"/>
    <xf numFmtId="0" fontId="64" fillId="46" borderId="0" xfId="2" applyNumberFormat="1" applyFont="1" applyFill="1" applyBorder="1"/>
    <xf numFmtId="164" fontId="66" fillId="46" borderId="0" xfId="165" applyNumberFormat="1" applyFont="1" applyFill="1" applyBorder="1"/>
    <xf numFmtId="0" fontId="1" fillId="46" borderId="0" xfId="2" applyNumberFormat="1" applyFont="1" applyFill="1" applyBorder="1"/>
    <xf numFmtId="164" fontId="8" fillId="2" borderId="0" xfId="0" applyNumberFormat="1" applyFont="1" applyFill="1" applyBorder="1" applyAlignment="1">
      <alignment horizontal="right" vertical="center"/>
    </xf>
    <xf numFmtId="181" fontId="1" fillId="2" borderId="0" xfId="0" applyNumberFormat="1" applyFont="1" applyFill="1" applyBorder="1" applyAlignment="1">
      <alignment horizontal="right" vertical="center"/>
    </xf>
    <xf numFmtId="10" fontId="64" fillId="2" borderId="0" xfId="2" applyNumberFormat="1" applyFont="1" applyFill="1" applyBorder="1" applyAlignment="1">
      <alignment horizontal="right"/>
    </xf>
    <xf numFmtId="165" fontId="8" fillId="2" borderId="0" xfId="0" applyNumberFormat="1" applyFont="1" applyFill="1" applyBorder="1" applyAlignment="1">
      <alignment horizontal="right"/>
    </xf>
    <xf numFmtId="0" fontId="8" fillId="2" borderId="0" xfId="0" applyNumberFormat="1" applyFont="1" applyFill="1" applyBorder="1" applyAlignment="1">
      <alignment horizontal="right" vertical="center"/>
    </xf>
    <xf numFmtId="0" fontId="8" fillId="2" borderId="0" xfId="0" applyNumberFormat="1" applyFont="1" applyFill="1" applyBorder="1" applyAlignment="1">
      <alignment horizontal="right"/>
    </xf>
    <xf numFmtId="181" fontId="1" fillId="2" borderId="0" xfId="0" applyNumberFormat="1" applyFont="1" applyFill="1" applyBorder="1" applyAlignment="1">
      <alignment horizontal="right"/>
    </xf>
    <xf numFmtId="179" fontId="1" fillId="2" borderId="0" xfId="2" applyNumberFormat="1" applyFont="1" applyFill="1" applyBorder="1"/>
    <xf numFmtId="182" fontId="1" fillId="2" borderId="0" xfId="0" applyNumberFormat="1" applyFont="1" applyFill="1" applyBorder="1"/>
    <xf numFmtId="10" fontId="1" fillId="2" borderId="0" xfId="0" applyNumberFormat="1" applyFont="1" applyFill="1" applyBorder="1"/>
    <xf numFmtId="178" fontId="8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left"/>
    </xf>
    <xf numFmtId="165" fontId="6" fillId="2" borderId="0" xfId="0" applyNumberFormat="1" applyFont="1" applyFill="1" applyBorder="1" applyAlignment="1">
      <alignment horizontal="right"/>
    </xf>
    <xf numFmtId="0" fontId="40" fillId="46" borderId="0" xfId="0" applyNumberFormat="1" applyFont="1" applyFill="1" applyBorder="1" applyAlignment="1">
      <alignment horizontal="right"/>
    </xf>
    <xf numFmtId="164" fontId="40" fillId="46" borderId="0" xfId="0" applyNumberFormat="1" applyFont="1" applyFill="1" applyBorder="1" applyAlignment="1">
      <alignment horizontal="right"/>
    </xf>
    <xf numFmtId="164" fontId="64" fillId="2" borderId="0" xfId="0" applyNumberFormat="1" applyFont="1" applyFill="1" applyBorder="1" applyAlignment="1">
      <alignment horizontal="left"/>
    </xf>
    <xf numFmtId="2" fontId="64" fillId="46" borderId="0" xfId="2" applyNumberFormat="1" applyFont="1" applyFill="1" applyBorder="1" applyAlignment="1">
      <alignment horizontal="right"/>
    </xf>
    <xf numFmtId="2" fontId="64" fillId="46" borderId="0" xfId="0" applyNumberFormat="1" applyFont="1" applyFill="1"/>
    <xf numFmtId="181" fontId="64" fillId="2" borderId="0" xfId="0" applyNumberFormat="1" applyFont="1" applyFill="1" applyBorder="1" applyAlignment="1">
      <alignment horizontal="left" vertical="center"/>
    </xf>
    <xf numFmtId="10" fontId="2" fillId="46" borderId="0" xfId="2" applyNumberFormat="1" applyFont="1" applyFill="1"/>
    <xf numFmtId="178" fontId="8" fillId="45" borderId="0" xfId="0" applyNumberFormat="1" applyFont="1" applyFill="1" applyBorder="1"/>
    <xf numFmtId="178" fontId="2" fillId="46" borderId="0" xfId="0" applyNumberFormat="1" applyFont="1" applyFill="1" applyBorder="1"/>
    <xf numFmtId="164" fontId="65" fillId="46" borderId="0" xfId="0" applyNumberFormat="1" applyFont="1" applyFill="1" applyBorder="1"/>
    <xf numFmtId="181" fontId="66" fillId="2" borderId="0" xfId="165" applyNumberFormat="1" applyFont="1" applyFill="1" applyBorder="1" applyAlignment="1">
      <alignment horizontal="left" vertical="center"/>
    </xf>
    <xf numFmtId="164" fontId="8" fillId="2" borderId="0" xfId="0" applyNumberFormat="1" applyFont="1" applyFill="1" applyBorder="1" applyAlignment="1"/>
    <xf numFmtId="164" fontId="64" fillId="2" borderId="0" xfId="0" applyNumberFormat="1" applyFont="1" applyFill="1" applyBorder="1" applyAlignment="1"/>
    <xf numFmtId="0" fontId="62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2" fillId="2" borderId="0" xfId="0" applyFont="1" applyFill="1" applyBorder="1"/>
    <xf numFmtId="1" fontId="1" fillId="2" borderId="0" xfId="0" applyNumberFormat="1" applyFont="1" applyFill="1" applyBorder="1"/>
    <xf numFmtId="0" fontId="64" fillId="2" borderId="0" xfId="0" applyFont="1" applyFill="1" applyBorder="1"/>
    <xf numFmtId="0" fontId="1" fillId="2" borderId="0" xfId="0" applyFont="1" applyFill="1" applyBorder="1" applyAlignment="1">
      <alignment horizontal="right"/>
    </xf>
    <xf numFmtId="0" fontId="6" fillId="2" borderId="0" xfId="0" applyFont="1" applyFill="1" applyBorder="1"/>
    <xf numFmtId="0" fontId="2" fillId="2" borderId="0" xfId="0" applyFont="1" applyFill="1" applyBorder="1" applyAlignment="1">
      <alignment horizontal="right"/>
    </xf>
    <xf numFmtId="179" fontId="64" fillId="2" borderId="0" xfId="0" applyNumberFormat="1" applyFont="1" applyFill="1" applyBorder="1"/>
    <xf numFmtId="180" fontId="2" fillId="46" borderId="0" xfId="0" applyNumberFormat="1" applyFont="1" applyFill="1" applyBorder="1"/>
    <xf numFmtId="180" fontId="2" fillId="46" borderId="19" xfId="0" applyNumberFormat="1" applyFont="1" applyFill="1" applyBorder="1"/>
    <xf numFmtId="180" fontId="2" fillId="46" borderId="18" xfId="0" applyNumberFormat="1" applyFont="1" applyFill="1" applyBorder="1"/>
    <xf numFmtId="0" fontId="64" fillId="2" borderId="0" xfId="0" applyFont="1" applyFill="1" applyBorder="1" applyAlignment="1">
      <alignment horizontal="right"/>
    </xf>
    <xf numFmtId="180" fontId="2" fillId="2" borderId="0" xfId="0" applyNumberFormat="1" applyFont="1" applyFill="1" applyBorder="1"/>
    <xf numFmtId="10" fontId="64" fillId="2" borderId="0" xfId="2" applyNumberFormat="1" applyFont="1" applyFill="1" applyBorder="1"/>
    <xf numFmtId="10" fontId="64" fillId="46" borderId="0" xfId="2" applyNumberFormat="1" applyFont="1" applyFill="1" applyBorder="1"/>
    <xf numFmtId="10" fontId="65" fillId="2" borderId="0" xfId="0" applyNumberFormat="1" applyFont="1" applyFill="1" applyBorder="1"/>
    <xf numFmtId="0" fontId="65" fillId="2" borderId="0" xfId="0" applyFont="1" applyFill="1" applyBorder="1" applyAlignment="1"/>
    <xf numFmtId="0" fontId="8" fillId="2" borderId="0" xfId="0" applyFont="1" applyFill="1" applyBorder="1" applyAlignment="1"/>
    <xf numFmtId="180" fontId="8" fillId="45" borderId="0" xfId="0" applyNumberFormat="1" applyFont="1" applyFill="1" applyBorder="1" applyAlignment="1">
      <alignment horizontal="left" vertical="center"/>
    </xf>
    <xf numFmtId="0" fontId="8" fillId="45" borderId="0" xfId="0" applyFont="1" applyFill="1" applyBorder="1" applyAlignment="1">
      <alignment horizontal="right"/>
    </xf>
    <xf numFmtId="2" fontId="64" fillId="2" borderId="0" xfId="0" applyNumberFormat="1" applyFont="1" applyFill="1" applyBorder="1"/>
    <xf numFmtId="164" fontId="40" fillId="2" borderId="0" xfId="0" applyNumberFormat="1" applyFont="1" applyFill="1" applyBorder="1" applyAlignment="1">
      <alignment horizontal="center"/>
    </xf>
    <xf numFmtId="2" fontId="64" fillId="2" borderId="0" xfId="2" applyNumberFormat="1" applyFont="1" applyFill="1" applyBorder="1" applyAlignment="1">
      <alignment horizontal="right"/>
    </xf>
    <xf numFmtId="178" fontId="64" fillId="2" borderId="0" xfId="0" applyNumberFormat="1" applyFont="1" applyFill="1" applyBorder="1"/>
    <xf numFmtId="178" fontId="64" fillId="2" borderId="0" xfId="0" applyNumberFormat="1" applyFont="1" applyFill="1" applyBorder="1" applyAlignment="1">
      <alignment horizontal="right"/>
    </xf>
    <xf numFmtId="10" fontId="64" fillId="2" borderId="0" xfId="2" applyNumberFormat="1" applyFont="1" applyFill="1"/>
    <xf numFmtId="2" fontId="64" fillId="2" borderId="0" xfId="0" applyNumberFormat="1" applyFont="1" applyFill="1"/>
    <xf numFmtId="2" fontId="64" fillId="2" borderId="0" xfId="2" applyNumberFormat="1" applyFont="1" applyFill="1" applyBorder="1" applyAlignment="1"/>
    <xf numFmtId="178" fontId="64" fillId="2" borderId="0" xfId="0" applyNumberFormat="1" applyFont="1" applyFill="1"/>
    <xf numFmtId="181" fontId="1" fillId="2" borderId="0" xfId="0" applyNumberFormat="1" applyFont="1" applyFill="1" applyBorder="1"/>
    <xf numFmtId="180" fontId="8" fillId="2" borderId="0" xfId="0" applyNumberFormat="1" applyFont="1" applyFill="1" applyBorder="1"/>
    <xf numFmtId="178" fontId="2" fillId="2" borderId="0" xfId="0" applyNumberFormat="1" applyFont="1" applyFill="1" applyBorder="1"/>
    <xf numFmtId="180" fontId="40" fillId="46" borderId="0" xfId="0" applyNumberFormat="1" applyFont="1" applyFill="1" applyBorder="1"/>
    <xf numFmtId="10" fontId="6" fillId="2" borderId="0" xfId="0" applyNumberFormat="1" applyFont="1" applyFill="1" applyBorder="1"/>
    <xf numFmtId="0" fontId="40" fillId="46" borderId="0" xfId="2" applyNumberFormat="1" applyFont="1" applyFill="1" applyBorder="1" applyAlignment="1">
      <alignment horizontal="right"/>
    </xf>
    <xf numFmtId="2" fontId="1" fillId="2" borderId="0" xfId="0" applyNumberFormat="1" applyFont="1" applyFill="1" applyBorder="1"/>
    <xf numFmtId="0" fontId="2" fillId="2" borderId="0" xfId="0" applyNumberFormat="1" applyFont="1" applyFill="1" applyBorder="1" applyAlignment="1">
      <alignment horizontal="right" vertical="center"/>
    </xf>
    <xf numFmtId="164" fontId="2" fillId="47" borderId="0" xfId="0" applyNumberFormat="1" applyFont="1" applyFill="1"/>
    <xf numFmtId="9" fontId="60" fillId="2" borderId="0" xfId="2" applyFont="1" applyFill="1" applyBorder="1"/>
    <xf numFmtId="180" fontId="2" fillId="46" borderId="0" xfId="0" applyNumberFormat="1" applyFont="1" applyFill="1"/>
    <xf numFmtId="0" fontId="2" fillId="47" borderId="0" xfId="0" applyNumberFormat="1" applyFont="1" applyFill="1"/>
    <xf numFmtId="0" fontId="40" fillId="47" borderId="0" xfId="2" applyNumberFormat="1" applyFont="1" applyFill="1" applyBorder="1" applyAlignment="1">
      <alignment horizontal="right"/>
    </xf>
    <xf numFmtId="0" fontId="40" fillId="47" borderId="0" xfId="0" applyNumberFormat="1" applyFont="1" applyFill="1" applyBorder="1" applyAlignment="1">
      <alignment horizontal="right"/>
    </xf>
    <xf numFmtId="0" fontId="40" fillId="47" borderId="0" xfId="2" applyNumberFormat="1" applyFont="1" applyFill="1" applyBorder="1"/>
    <xf numFmtId="0" fontId="40" fillId="47" borderId="0" xfId="0" applyNumberFormat="1" applyFont="1" applyFill="1" applyBorder="1"/>
    <xf numFmtId="164" fontId="1" fillId="2" borderId="0" xfId="0" applyNumberFormat="1" applyFont="1" applyFill="1" applyAlignment="1">
      <alignment horizontal="right"/>
    </xf>
    <xf numFmtId="164" fontId="60" fillId="46" borderId="0" xfId="0" applyNumberFormat="1" applyFont="1" applyFill="1" applyBorder="1"/>
    <xf numFmtId="164" fontId="40" fillId="46" borderId="17" xfId="0" applyNumberFormat="1" applyFont="1" applyFill="1" applyBorder="1"/>
    <xf numFmtId="180" fontId="2" fillId="46" borderId="19" xfId="0" applyNumberFormat="1" applyFont="1" applyFill="1" applyBorder="1" applyAlignment="1">
      <alignment horizontal="left" vertical="center"/>
    </xf>
    <xf numFmtId="180" fontId="8" fillId="2" borderId="0" xfId="0" applyNumberFormat="1" applyFont="1" applyFill="1" applyBorder="1" applyAlignment="1">
      <alignment horizontal="left" vertical="center"/>
    </xf>
    <xf numFmtId="180" fontId="2" fillId="2" borderId="0" xfId="0" applyNumberFormat="1" applyFont="1" applyFill="1" applyBorder="1" applyAlignment="1">
      <alignment horizontal="left" vertical="center"/>
    </xf>
    <xf numFmtId="164" fontId="66" fillId="2" borderId="0" xfId="0" applyNumberFormat="1" applyFont="1" applyFill="1" applyBorder="1" applyAlignment="1"/>
    <xf numFmtId="166" fontId="66" fillId="2" borderId="0" xfId="2" applyNumberFormat="1" applyFont="1" applyFill="1" applyBorder="1" applyAlignment="1"/>
    <xf numFmtId="164" fontId="8" fillId="45" borderId="0" xfId="0" applyNumberFormat="1" applyFont="1" applyFill="1"/>
    <xf numFmtId="0" fontId="1" fillId="2" borderId="0" xfId="2" applyNumberFormat="1" applyFont="1" applyFill="1"/>
    <xf numFmtId="183" fontId="2" fillId="46" borderId="0" xfId="0" applyNumberFormat="1" applyFont="1" applyFill="1"/>
    <xf numFmtId="10" fontId="64" fillId="46" borderId="0" xfId="2" applyNumberFormat="1" applyFont="1" applyFill="1"/>
    <xf numFmtId="0" fontId="2" fillId="47" borderId="0" xfId="0" applyNumberFormat="1" applyFont="1" applyFill="1" applyAlignment="1">
      <alignment horizontal="right"/>
    </xf>
    <xf numFmtId="164" fontId="2" fillId="2" borderId="0" xfId="0" applyNumberFormat="1" applyFont="1" applyFill="1"/>
    <xf numFmtId="0" fontId="2" fillId="2" borderId="0" xfId="0" applyNumberFormat="1" applyFont="1" applyFill="1" applyBorder="1" applyAlignment="1">
      <alignment horizontal="right"/>
    </xf>
    <xf numFmtId="9" fontId="67" fillId="2" borderId="0" xfId="0" applyNumberFormat="1" applyFont="1" applyFill="1" applyBorder="1"/>
    <xf numFmtId="9" fontId="67" fillId="2" borderId="0" xfId="0" applyNumberFormat="1" applyFont="1" applyFill="1" applyBorder="1" applyAlignment="1">
      <alignment horizontal="right"/>
    </xf>
    <xf numFmtId="9" fontId="67" fillId="2" borderId="0" xfId="2" applyFont="1" applyFill="1" applyBorder="1"/>
    <xf numFmtId="10" fontId="67" fillId="2" borderId="0" xfId="0" applyNumberFormat="1" applyFont="1" applyFill="1" applyBorder="1"/>
    <xf numFmtId="181" fontId="40" fillId="2" borderId="0" xfId="0" applyNumberFormat="1" applyFont="1" applyFill="1" applyBorder="1" applyAlignment="1">
      <alignment horizontal="right"/>
    </xf>
    <xf numFmtId="181" fontId="40" fillId="46" borderId="0" xfId="0" applyNumberFormat="1" applyFont="1" applyFill="1" applyBorder="1" applyAlignment="1">
      <alignment horizontal="right"/>
    </xf>
    <xf numFmtId="0" fontId="1" fillId="46" borderId="0" xfId="0" applyNumberFormat="1" applyFont="1" applyFill="1" applyBorder="1" applyAlignment="1">
      <alignment horizontal="right" vertical="center"/>
    </xf>
    <xf numFmtId="9" fontId="64" fillId="2" borderId="0" xfId="2" applyFont="1" applyFill="1" applyBorder="1"/>
    <xf numFmtId="2" fontId="64" fillId="2" borderId="20" xfId="2" applyNumberFormat="1" applyFont="1" applyFill="1" applyBorder="1" applyAlignment="1">
      <alignment horizontal="right"/>
    </xf>
    <xf numFmtId="2" fontId="40" fillId="2" borderId="0" xfId="0" applyNumberFormat="1" applyFont="1" applyFill="1" applyBorder="1" applyAlignment="1">
      <alignment horizontal="right"/>
    </xf>
    <xf numFmtId="182" fontId="7" fillId="2" borderId="0" xfId="0" applyNumberFormat="1" applyFont="1" applyFill="1" applyBorder="1"/>
    <xf numFmtId="164" fontId="40" fillId="2" borderId="0" xfId="0" applyNumberFormat="1" applyFont="1" applyFill="1" applyBorder="1" applyAlignment="1">
      <alignment horizontal="right"/>
    </xf>
    <xf numFmtId="164" fontId="60" fillId="46" borderId="0" xfId="0" applyNumberFormat="1" applyFont="1" applyFill="1" applyBorder="1" applyAlignment="1">
      <alignment horizontal="right"/>
    </xf>
    <xf numFmtId="0" fontId="40" fillId="2" borderId="0" xfId="2" applyNumberFormat="1" applyFont="1" applyFill="1" applyBorder="1"/>
    <xf numFmtId="0" fontId="40" fillId="2" borderId="0" xfId="0" applyNumberFormat="1" applyFont="1" applyFill="1" applyBorder="1"/>
    <xf numFmtId="180" fontId="40" fillId="2" borderId="0" xfId="0" applyNumberFormat="1" applyFont="1" applyFill="1" applyBorder="1"/>
    <xf numFmtId="183" fontId="2" fillId="2" borderId="0" xfId="0" applyNumberFormat="1" applyFont="1" applyFill="1" applyBorder="1"/>
    <xf numFmtId="10" fontId="64" fillId="46" borderId="0" xfId="2" applyNumberFormat="1" applyFont="1" applyFill="1" applyBorder="1" applyAlignment="1"/>
    <xf numFmtId="10" fontId="64" fillId="2" borderId="20" xfId="2" applyNumberFormat="1" applyFont="1" applyFill="1" applyBorder="1" applyAlignment="1">
      <alignment horizontal="right"/>
    </xf>
    <xf numFmtId="10" fontId="64" fillId="46" borderId="0" xfId="2" applyNumberFormat="1" applyFont="1" applyFill="1" applyAlignment="1">
      <alignment horizontal="right"/>
    </xf>
    <xf numFmtId="183" fontId="2" fillId="46" borderId="0" xfId="2" applyNumberFormat="1" applyFont="1" applyFill="1"/>
    <xf numFmtId="10" fontId="64" fillId="2" borderId="0" xfId="2" applyNumberFormat="1" applyFont="1" applyFill="1" applyBorder="1" applyAlignment="1">
      <alignment vertical="center"/>
    </xf>
    <xf numFmtId="183" fontId="2" fillId="2" borderId="0" xfId="2" applyNumberFormat="1" applyFont="1" applyFill="1" applyBorder="1"/>
    <xf numFmtId="164" fontId="8" fillId="45" borderId="0" xfId="0" applyNumberFormat="1" applyFont="1" applyFill="1" applyAlignment="1">
      <alignment horizontal="right"/>
    </xf>
    <xf numFmtId="164" fontId="8" fillId="45" borderId="0" xfId="0" applyNumberFormat="1" applyFont="1" applyFill="1" applyAlignment="1">
      <alignment horizontal="right" vertical="center"/>
    </xf>
    <xf numFmtId="0" fontId="2" fillId="46" borderId="0" xfId="0" applyNumberFormat="1" applyFont="1" applyFill="1"/>
    <xf numFmtId="0" fontId="40" fillId="46" borderId="0" xfId="2" applyNumberFormat="1" applyFont="1" applyFill="1" applyBorder="1"/>
    <xf numFmtId="0" fontId="40" fillId="46" borderId="0" xfId="0" applyNumberFormat="1" applyFont="1" applyFill="1" applyBorder="1"/>
    <xf numFmtId="0" fontId="2" fillId="46" borderId="0" xfId="0" applyNumberFormat="1" applyFont="1" applyFill="1" applyAlignment="1">
      <alignment horizontal="right"/>
    </xf>
    <xf numFmtId="180" fontId="40" fillId="47" borderId="0" xfId="0" applyNumberFormat="1" applyFont="1" applyFill="1" applyBorder="1"/>
    <xf numFmtId="0" fontId="1" fillId="47" borderId="0" xfId="0" applyFont="1" applyFill="1" applyBorder="1"/>
    <xf numFmtId="10" fontId="64" fillId="47" borderId="0" xfId="2" applyNumberFormat="1" applyFont="1" applyFill="1" applyBorder="1"/>
    <xf numFmtId="183" fontId="2" fillId="47" borderId="0" xfId="0" applyNumberFormat="1" applyFont="1" applyFill="1"/>
    <xf numFmtId="10" fontId="2" fillId="47" borderId="0" xfId="2" applyNumberFormat="1" applyFont="1" applyFill="1"/>
    <xf numFmtId="180" fontId="2" fillId="47" borderId="0" xfId="0" applyNumberFormat="1" applyFont="1" applyFill="1"/>
    <xf numFmtId="183" fontId="2" fillId="47" borderId="0" xfId="2" applyNumberFormat="1" applyFont="1" applyFill="1"/>
    <xf numFmtId="180" fontId="2" fillId="47" borderId="0" xfId="0" applyNumberFormat="1" applyFont="1" applyFill="1" applyBorder="1"/>
    <xf numFmtId="9" fontId="8" fillId="45" borderId="0" xfId="2" applyFont="1" applyFill="1"/>
    <xf numFmtId="0" fontId="8" fillId="2" borderId="0" xfId="0" applyFont="1" applyFill="1"/>
    <xf numFmtId="180" fontId="1" fillId="2" borderId="0" xfId="0" applyNumberFormat="1" applyFont="1" applyFill="1" applyBorder="1"/>
    <xf numFmtId="10" fontId="64" fillId="2" borderId="21" xfId="2" applyNumberFormat="1" applyFont="1" applyFill="1" applyBorder="1" applyAlignment="1">
      <alignment horizontal="right"/>
    </xf>
    <xf numFmtId="179" fontId="2" fillId="46" borderId="0" xfId="0" applyNumberFormat="1" applyFont="1" applyFill="1"/>
    <xf numFmtId="0" fontId="40" fillId="2" borderId="0" xfId="0" applyNumberFormat="1" applyFont="1" applyFill="1" applyBorder="1" applyAlignment="1">
      <alignment horizontal="right"/>
    </xf>
    <xf numFmtId="164" fontId="40" fillId="2" borderId="0" xfId="0" applyNumberFormat="1" applyFont="1" applyFill="1" applyBorder="1" applyAlignment="1"/>
    <xf numFmtId="0" fontId="64" fillId="48" borderId="0" xfId="0" applyFont="1" applyFill="1" applyBorder="1" applyAlignment="1">
      <alignment horizontal="right"/>
    </xf>
    <xf numFmtId="184" fontId="40" fillId="48" borderId="0" xfId="0" applyNumberFormat="1" applyFont="1" applyFill="1" applyBorder="1" applyAlignment="1">
      <alignment horizontal="right"/>
    </xf>
    <xf numFmtId="0" fontId="64" fillId="46" borderId="0" xfId="0" applyFont="1" applyFill="1" applyBorder="1" applyAlignment="1">
      <alignment horizontal="right"/>
    </xf>
    <xf numFmtId="184" fontId="2" fillId="46" borderId="0" xfId="2" applyNumberFormat="1" applyFont="1" applyFill="1" applyBorder="1"/>
    <xf numFmtId="184" fontId="40" fillId="46" borderId="0" xfId="0" applyNumberFormat="1" applyFont="1" applyFill="1" applyBorder="1" applyAlignment="1">
      <alignment horizontal="right"/>
    </xf>
    <xf numFmtId="181" fontId="1" fillId="46" borderId="0" xfId="0" applyNumberFormat="1" applyFont="1" applyFill="1" applyBorder="1"/>
    <xf numFmtId="184" fontId="2" fillId="48" borderId="0" xfId="0" applyNumberFormat="1" applyFont="1" applyFill="1" applyBorder="1"/>
    <xf numFmtId="0" fontId="64" fillId="2" borderId="0" xfId="0" applyNumberFormat="1" applyFont="1" applyFill="1" applyBorder="1"/>
    <xf numFmtId="0" fontId="64" fillId="2" borderId="0" xfId="0" applyNumberFormat="1" applyFont="1" applyFill="1"/>
    <xf numFmtId="185" fontId="62" fillId="2" borderId="0" xfId="0" applyNumberFormat="1" applyFont="1" applyFill="1" applyBorder="1" applyAlignment="1">
      <alignment vertical="center"/>
    </xf>
    <xf numFmtId="185" fontId="40" fillId="2" borderId="0" xfId="0" applyNumberFormat="1" applyFont="1" applyFill="1" applyBorder="1" applyAlignment="1"/>
    <xf numFmtId="185" fontId="40" fillId="2" borderId="0" xfId="0" applyNumberFormat="1" applyFont="1" applyFill="1" applyBorder="1"/>
    <xf numFmtId="0" fontId="60" fillId="2" borderId="0" xfId="0" applyFont="1" applyFill="1" applyBorder="1"/>
    <xf numFmtId="0" fontId="60" fillId="2" borderId="0" xfId="0" applyNumberFormat="1" applyFont="1" applyFill="1" applyBorder="1"/>
    <xf numFmtId="185" fontId="40" fillId="2" borderId="0" xfId="0" applyNumberFormat="1" applyFont="1" applyFill="1" applyBorder="1" applyAlignment="1">
      <alignment horizontal="right"/>
    </xf>
    <xf numFmtId="186" fontId="40" fillId="48" borderId="0" xfId="0" applyNumberFormat="1" applyFont="1" applyFill="1" applyBorder="1" applyAlignment="1">
      <alignment horizontal="right"/>
    </xf>
    <xf numFmtId="186" fontId="2" fillId="48" borderId="0" xfId="0" applyNumberFormat="1" applyFont="1" applyFill="1" applyBorder="1"/>
    <xf numFmtId="181" fontId="40" fillId="48" borderId="0" xfId="0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Border="1" applyAlignment="1"/>
    <xf numFmtId="187" fontId="0" fillId="2" borderId="0" xfId="0" applyNumberFormat="1" applyFill="1" applyBorder="1" applyAlignment="1"/>
    <xf numFmtId="186" fontId="40" fillId="46" borderId="0" xfId="0" applyNumberFormat="1" applyFont="1" applyFill="1" applyBorder="1" applyAlignment="1">
      <alignment horizontal="right"/>
    </xf>
    <xf numFmtId="186" fontId="40" fillId="46" borderId="0" xfId="0" applyNumberFormat="1" applyFont="1" applyFill="1" applyBorder="1"/>
    <xf numFmtId="186" fontId="2" fillId="46" borderId="0" xfId="0" applyNumberFormat="1" applyFont="1" applyFill="1" applyBorder="1"/>
    <xf numFmtId="10" fontId="0" fillId="2" borderId="0" xfId="2" applyNumberFormat="1" applyFont="1" applyFill="1" applyBorder="1" applyAlignment="1"/>
    <xf numFmtId="0" fontId="0" fillId="2" borderId="0" xfId="0" applyFill="1" applyBorder="1"/>
    <xf numFmtId="0" fontId="76" fillId="2" borderId="0" xfId="0" applyFont="1" applyFill="1" applyBorder="1" applyAlignment="1">
      <alignment horizontal="center"/>
    </xf>
    <xf numFmtId="0" fontId="64" fillId="48" borderId="0" xfId="0" applyFont="1" applyFill="1" applyBorder="1" applyAlignment="1">
      <alignment horizontal="right" vertical="center"/>
    </xf>
    <xf numFmtId="184" fontId="2" fillId="48" borderId="0" xfId="0" applyNumberFormat="1" applyFont="1" applyFill="1" applyBorder="1" applyAlignment="1">
      <alignment vertical="center"/>
    </xf>
    <xf numFmtId="181" fontId="40" fillId="48" borderId="0" xfId="0" applyNumberFormat="1" applyFont="1" applyFill="1" applyBorder="1" applyAlignment="1">
      <alignment horizontal="right" vertical="center"/>
    </xf>
    <xf numFmtId="0" fontId="76" fillId="2" borderId="0" xfId="0" applyFont="1" applyFill="1" applyBorder="1" applyAlignment="1">
      <alignment horizontal="centerContinuous"/>
    </xf>
    <xf numFmtId="10" fontId="0" fillId="2" borderId="0" xfId="2" applyNumberFormat="1" applyFont="1" applyFill="1" applyBorder="1"/>
    <xf numFmtId="187" fontId="0" fillId="2" borderId="0" xfId="0" applyNumberFormat="1" applyFill="1" applyBorder="1"/>
    <xf numFmtId="0" fontId="0" fillId="2" borderId="0" xfId="0" applyFill="1" applyBorder="1" applyAlignment="1">
      <alignment vertical="center"/>
    </xf>
    <xf numFmtId="185" fontId="40" fillId="46" borderId="0" xfId="0" applyNumberFormat="1" applyFont="1" applyFill="1" applyBorder="1"/>
    <xf numFmtId="185" fontId="74" fillId="46" borderId="0" xfId="0" applyNumberFormat="1" applyFont="1" applyFill="1" applyBorder="1"/>
    <xf numFmtId="2" fontId="75" fillId="46" borderId="0" xfId="0" applyNumberFormat="1" applyFont="1" applyFill="1" applyAlignment="1"/>
    <xf numFmtId="188" fontId="2" fillId="2" borderId="0" xfId="0" applyNumberFormat="1" applyFont="1" applyFill="1" applyBorder="1" applyAlignment="1">
      <alignment horizontal="right"/>
    </xf>
    <xf numFmtId="188" fontId="2" fillId="2" borderId="0" xfId="0" applyNumberFormat="1" applyFont="1" applyFill="1" applyBorder="1"/>
    <xf numFmtId="188" fontId="2" fillId="2" borderId="0" xfId="2" applyNumberFormat="1" applyFont="1" applyFill="1" applyBorder="1" applyAlignment="1">
      <alignment horizontal="right"/>
    </xf>
    <xf numFmtId="188" fontId="2" fillId="2" borderId="0" xfId="0" applyNumberFormat="1" applyFont="1" applyFill="1"/>
    <xf numFmtId="10" fontId="40" fillId="2" borderId="0" xfId="2" applyNumberFormat="1" applyFont="1" applyFill="1" applyBorder="1" applyAlignment="1">
      <alignment horizontal="right"/>
    </xf>
    <xf numFmtId="10" fontId="40" fillId="2" borderId="0" xfId="2" applyNumberFormat="1" applyFont="1" applyFill="1" applyBorder="1" applyAlignment="1">
      <alignment horizontal="right" vertical="center"/>
    </xf>
    <xf numFmtId="165" fontId="40" fillId="2" borderId="0" xfId="0" applyNumberFormat="1" applyFont="1" applyFill="1" applyBorder="1" applyAlignment="1">
      <alignment horizontal="right"/>
    </xf>
    <xf numFmtId="186" fontId="2" fillId="2" borderId="0" xfId="0" applyNumberFormat="1" applyFont="1" applyFill="1" applyBorder="1"/>
    <xf numFmtId="166" fontId="8" fillId="2" borderId="0" xfId="2" applyNumberFormat="1" applyFont="1" applyFill="1" applyBorder="1" applyAlignment="1">
      <alignment horizontal="right"/>
    </xf>
    <xf numFmtId="186" fontId="40" fillId="2" borderId="0" xfId="0" applyNumberFormat="1" applyFont="1" applyFill="1" applyBorder="1" applyAlignment="1">
      <alignment horizontal="right"/>
    </xf>
    <xf numFmtId="186" fontId="2" fillId="2" borderId="0" xfId="0" applyNumberFormat="1" applyFont="1" applyFill="1" applyBorder="1" applyAlignment="1">
      <alignment horizontal="right"/>
    </xf>
    <xf numFmtId="164" fontId="8" fillId="45" borderId="0" xfId="0" applyNumberFormat="1" applyFont="1" applyFill="1" applyBorder="1" applyAlignment="1">
      <alignment horizontal="center"/>
    </xf>
    <xf numFmtId="2" fontId="67" fillId="45" borderId="0" xfId="0" applyNumberFormat="1" applyFont="1" applyFill="1" applyAlignment="1">
      <alignment horizontal="center"/>
    </xf>
    <xf numFmtId="0" fontId="8" fillId="45" borderId="0" xfId="0" applyFont="1" applyFill="1" applyBorder="1" applyAlignment="1">
      <alignment horizontal="center"/>
    </xf>
    <xf numFmtId="164" fontId="8" fillId="45" borderId="0" xfId="0" applyNumberFormat="1" applyFont="1" applyFill="1" applyAlignment="1">
      <alignment horizontal="center"/>
    </xf>
  </cellXfs>
  <cellStyles count="169">
    <cellStyle name="%" xfId="135"/>
    <cellStyle name="_x0002_._x0011__x0002_._x001b__x0002_ _x0015_%_x0018__x0001_" xfId="4"/>
    <cellStyle name="_060510 Goal Setting CNV" xfId="5"/>
    <cellStyle name="_2008-08-18 WC SRL" xfId="6"/>
    <cellStyle name="_2008-10-06 Goodwill Test KPMG incl PL 19 (2)" xfId="7"/>
    <cellStyle name="_2008-10-06 Goodwill Test KPMG incl PL 19 (3)" xfId="8"/>
    <cellStyle name="_2009-03-17 Version für 53-19" xfId="9"/>
    <cellStyle name="_Access Bluebook 2007 DCL V7" xfId="10"/>
    <cellStyle name="_AL_cost_outlook_070405_Bluebook2007" xfId="11"/>
    <cellStyle name="_BB_08_BG_COM" xfId="12"/>
    <cellStyle name="_Bluebook-2005-PL-Projections-COM-SR2" xfId="13"/>
    <cellStyle name="_COM Cash Flow Bluebook 2008" xfId="14"/>
    <cellStyle name="_Cordless_Bizcase_070524" xfId="15"/>
    <cellStyle name="_Cordless_Bizcase_Bluebook (2)" xfId="16"/>
    <cellStyle name="_Cordless_Bizcase_Master" xfId="17"/>
    <cellStyle name="_Data" xfId="18"/>
    <cellStyle name="_Foundry Wafer Price Database - BU" xfId="19"/>
    <cellStyle name="_Segment_DCL_FRFC_2007_03" xfId="20"/>
    <cellStyle name="_SR_CSP_Segments" xfId="21"/>
    <cellStyle name="_Wireless_MPP_FRFC0810_V3" xfId="22"/>
    <cellStyle name="_WLS_MPP_BB2008_vs_VRFC0904_bw (2)" xfId="23"/>
    <cellStyle name="0,0_x000d__x000a_NA_x000d__x000a_" xfId="24"/>
    <cellStyle name="20% - Accent1 2" xfId="25"/>
    <cellStyle name="20% - Accent2 2" xfId="26"/>
    <cellStyle name="20% - Accent3 2" xfId="27"/>
    <cellStyle name="20% - Accent4 2" xfId="28"/>
    <cellStyle name="20% - Accent5 2" xfId="29"/>
    <cellStyle name="20% - Accent6 2" xfId="30"/>
    <cellStyle name="40% - Accent1 2" xfId="31"/>
    <cellStyle name="40% - Accent2 2" xfId="32"/>
    <cellStyle name="40% - Accent3 2" xfId="33"/>
    <cellStyle name="40% - Accent4 2" xfId="34"/>
    <cellStyle name="40% - Accent5 2" xfId="35"/>
    <cellStyle name="40% - Accent6 2" xfId="36"/>
    <cellStyle name="60% - Accent1 2" xfId="37"/>
    <cellStyle name="60% - Accent2 2" xfId="38"/>
    <cellStyle name="60% - Accent3 2" xfId="39"/>
    <cellStyle name="60% - Accent4 2" xfId="40"/>
    <cellStyle name="60% - Accent5 2" xfId="41"/>
    <cellStyle name="60% - Accent6 2" xfId="42"/>
    <cellStyle name="Accent1 2" xfId="43"/>
    <cellStyle name="Accent2 2" xfId="44"/>
    <cellStyle name="Accent3 2" xfId="45"/>
    <cellStyle name="Accent4 2" xfId="46"/>
    <cellStyle name="Accent5 2" xfId="47"/>
    <cellStyle name="Accent6 2" xfId="48"/>
    <cellStyle name="AFE" xfId="49"/>
    <cellStyle name="AFE 2" xfId="132"/>
    <cellStyle name="Bad 2" xfId="50"/>
    <cellStyle name="Calculation 2" xfId="51"/>
    <cellStyle name="Check Cell 2" xfId="52"/>
    <cellStyle name="Comma 2" xfId="154"/>
    <cellStyle name="Comma 3" xfId="168"/>
    <cellStyle name="Currency 2" xfId="166"/>
    <cellStyle name="Detail" xfId="53"/>
    <cellStyle name="Euro" xfId="54"/>
    <cellStyle name="Explanatory Text 2" xfId="55"/>
    <cellStyle name="EY Narrative text" xfId="148"/>
    <cellStyle name="EY0dp" xfId="146"/>
    <cellStyle name="EY1dp" xfId="147"/>
    <cellStyle name="EYChartTitle" xfId="141"/>
    <cellStyle name="EYColumnHeading" xfId="144"/>
    <cellStyle name="EYCurrency" xfId="143"/>
    <cellStyle name="EYnumber" xfId="142"/>
    <cellStyle name="EYSectionHeading" xfId="138"/>
    <cellStyle name="EYSheetHeading" xfId="140"/>
    <cellStyle name="EYsmallheading" xfId="139"/>
    <cellStyle name="EYSource" xfId="149"/>
    <cellStyle name="EYtext" xfId="145"/>
    <cellStyle name="Good 2" xfId="56"/>
    <cellStyle name="Grey" xfId="57"/>
    <cellStyle name="Heading 1 2" xfId="58"/>
    <cellStyle name="Heading 2 2" xfId="59"/>
    <cellStyle name="Heading 3 2" xfId="60"/>
    <cellStyle name="Heading 4 2" xfId="61"/>
    <cellStyle name="Hyperlink" xfId="165" builtinId="8"/>
    <cellStyle name="Input [yellow]" xfId="63"/>
    <cellStyle name="Input 2" xfId="62"/>
    <cellStyle name="Linked Cell 2" xfId="64"/>
    <cellStyle name="meny_33-34" xfId="65"/>
    <cellStyle name="Milliers [0]_foxz" xfId="66"/>
    <cellStyle name="Milliers_foxz" xfId="67"/>
    <cellStyle name="Monétaire [0]_foxz" xfId="68"/>
    <cellStyle name="Monétaire_foxz" xfId="69"/>
    <cellStyle name="Neutral 2" xfId="70"/>
    <cellStyle name="Normal" xfId="0" builtinId="0"/>
    <cellStyle name="Normal - Style1" xfId="71"/>
    <cellStyle name="Normal 2" xfId="150"/>
    <cellStyle name="Normal 2 2" xfId="152"/>
    <cellStyle name="Normal 3" xfId="151"/>
    <cellStyle name="Normal 4" xfId="153"/>
    <cellStyle name="Normal 5" xfId="3"/>
    <cellStyle name="Normal 6" xfId="167"/>
    <cellStyle name="Normal_Project Accel Valuation v56" xfId="133"/>
    <cellStyle name="normální_33-34" xfId="72"/>
    <cellStyle name="Note 2" xfId="73"/>
    <cellStyle name="Œ…‹æØ‚è [0.00]_laroux" xfId="74"/>
    <cellStyle name="Œ…‹æØ‚è_laroux" xfId="75"/>
    <cellStyle name="Output 2" xfId="76"/>
    <cellStyle name="Percent" xfId="2" builtinId="5"/>
    <cellStyle name="Percent [2]" xfId="78"/>
    <cellStyle name="Percent 2" xfId="155"/>
    <cellStyle name="Percent 3" xfId="77"/>
    <cellStyle name="Percent 5" xfId="79"/>
    <cellStyle name="Prozent 2" xfId="134"/>
    <cellStyle name="PSChar" xfId="80"/>
    <cellStyle name="PSDate" xfId="81"/>
    <cellStyle name="PSDec" xfId="82"/>
    <cellStyle name="PSHeading" xfId="83"/>
    <cellStyle name="PSInt" xfId="84"/>
    <cellStyle name="PSSpacer" xfId="85"/>
    <cellStyle name="Revenue" xfId="86"/>
    <cellStyle name="SAPBEXaggData" xfId="87"/>
    <cellStyle name="SAPBEXaggDataEmph" xfId="88"/>
    <cellStyle name="SAPBEXaggItem" xfId="89"/>
    <cellStyle name="SAPBEXaggItemX" xfId="90"/>
    <cellStyle name="SAPBEXchaText" xfId="91"/>
    <cellStyle name="SAPBEXexcBad7" xfId="92"/>
    <cellStyle name="SAPBEXexcBad8" xfId="93"/>
    <cellStyle name="SAPBEXexcBad9" xfId="94"/>
    <cellStyle name="SAPBEXexcCritical4" xfId="95"/>
    <cellStyle name="SAPBEXexcCritical5" xfId="96"/>
    <cellStyle name="SAPBEXexcCritical6" xfId="97"/>
    <cellStyle name="SAPBEXexcGood1" xfId="98"/>
    <cellStyle name="SAPBEXexcGood2" xfId="99"/>
    <cellStyle name="SAPBEXexcGood3" xfId="100"/>
    <cellStyle name="SAPBEXfilterDrill" xfId="101"/>
    <cellStyle name="SAPBEXfilterItem" xfId="102"/>
    <cellStyle name="SAPBEXfilterText" xfId="103"/>
    <cellStyle name="SAPBEXformats" xfId="104"/>
    <cellStyle name="SAPBEXheaderItem" xfId="105"/>
    <cellStyle name="SAPBEXheaderText" xfId="106"/>
    <cellStyle name="SAPBEXHLevel0" xfId="107"/>
    <cellStyle name="SAPBEXHLevel0X" xfId="108"/>
    <cellStyle name="SAPBEXHLevel1" xfId="109"/>
    <cellStyle name="SAPBEXHLevel1X" xfId="110"/>
    <cellStyle name="SAPBEXHLevel2" xfId="111"/>
    <cellStyle name="SAPBEXHLevel2X" xfId="112"/>
    <cellStyle name="SAPBEXHLevel3" xfId="113"/>
    <cellStyle name="SAPBEXHLevel3X" xfId="114"/>
    <cellStyle name="SAPBEXresData" xfId="115"/>
    <cellStyle name="SAPBEXresDataEmph" xfId="116"/>
    <cellStyle name="SAPBEXresItem" xfId="117"/>
    <cellStyle name="SAPBEXresItemX" xfId="118"/>
    <cellStyle name="SAPBEXstdData" xfId="119"/>
    <cellStyle name="SAPBEXstdDataEmph" xfId="120"/>
    <cellStyle name="SAPBEXstdItem" xfId="121"/>
    <cellStyle name="SAPBEXstdItemX" xfId="122"/>
    <cellStyle name="SAPBEXtitle" xfId="123"/>
    <cellStyle name="SAPBEXundefined" xfId="124"/>
    <cellStyle name="Smart Subtitle 1" xfId="1"/>
    <cellStyle name="Standard 2" xfId="131"/>
    <cellStyle name="Standard 3" xfId="136"/>
    <cellStyle name="Standard 4" xfId="156"/>
    <cellStyle name="Stil 1" xfId="130"/>
    <cellStyle name="Style 1" xfId="125"/>
    <cellStyle name="Tahoma:10:1" xfId="160"/>
    <cellStyle name="Tahoma:10:129" xfId="161"/>
    <cellStyle name="Tahoma:12:1" xfId="157"/>
    <cellStyle name="Tahoma:12:129" xfId="162"/>
    <cellStyle name="Tahoma:8:0" xfId="158"/>
    <cellStyle name="Tahoma:8:1" xfId="159"/>
    <cellStyle name="Tahoma:8:128" xfId="163"/>
    <cellStyle name="Tahoma:8:129" xfId="164"/>
    <cellStyle name="Title 2" xfId="126"/>
    <cellStyle name="Total 2" xfId="127"/>
    <cellStyle name="Total Row" xfId="128"/>
    <cellStyle name="TTS" xfId="137"/>
    <cellStyle name="Warning Text 2" xfId="129"/>
  </cellStyles>
  <dxfs count="0"/>
  <tableStyles count="0" defaultTableStyle="TableStyleMedium2" defaultPivotStyle="PivotStyleMedium9"/>
  <colors>
    <mruColors>
      <color rgb="FFF8F8F8"/>
      <color rgb="FFAF235D"/>
      <color rgb="FF1BEBD7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  <a:r>
              <a:rPr lang="en-US" baseline="0"/>
              <a:t> Interest Margin %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cat>
            <c:strRef>
              <c:f>About!$B$58:$K$58</c:f>
              <c:strCache>
                <c:ptCount val="10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  <c:pt idx="4">
                  <c:v>FY17</c:v>
                </c:pt>
                <c:pt idx="5">
                  <c:v>FY18</c:v>
                </c:pt>
                <c:pt idx="6">
                  <c:v>FY19</c:v>
                </c:pt>
                <c:pt idx="7">
                  <c:v>FY20</c:v>
                </c:pt>
                <c:pt idx="8">
                  <c:v>FY21</c:v>
                </c:pt>
                <c:pt idx="9">
                  <c:v>FY22</c:v>
                </c:pt>
              </c:strCache>
            </c:strRef>
          </c:cat>
          <c:val>
            <c:numRef>
              <c:f>About!$B$59:$K$59</c:f>
              <c:numCache>
                <c:formatCode>0.00%</c:formatCode>
                <c:ptCount val="10"/>
                <c:pt idx="0">
                  <c:v>0.1027</c:v>
                </c:pt>
                <c:pt idx="1">
                  <c:v>9.4200000000000006E-2</c:v>
                </c:pt>
                <c:pt idx="2">
                  <c:v>9.7900000000000001E-2</c:v>
                </c:pt>
                <c:pt idx="3">
                  <c:v>0.1047</c:v>
                </c:pt>
                <c:pt idx="4">
                  <c:v>0.12740000000000001</c:v>
                </c:pt>
                <c:pt idx="5">
                  <c:v>0.15290000000000001</c:v>
                </c:pt>
                <c:pt idx="6">
                  <c:v>0.14199999999999999</c:v>
                </c:pt>
                <c:pt idx="7">
                  <c:v>0.1552</c:v>
                </c:pt>
                <c:pt idx="8">
                  <c:v>0.1424</c:v>
                </c:pt>
                <c:pt idx="9">
                  <c:v>0.13039999999999999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F-46D8-9BAA-DDD6A24CE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820767"/>
        <c:axId val="328821183"/>
      </c:lineChart>
      <c:catAx>
        <c:axId val="32882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21183"/>
        <c:crosses val="autoZero"/>
        <c:auto val="1"/>
        <c:lblAlgn val="ctr"/>
        <c:lblOffset val="100"/>
        <c:noMultiLvlLbl val="0"/>
      </c:catAx>
      <c:valAx>
        <c:axId val="328821183"/>
        <c:scaling>
          <c:orientation val="minMax"/>
          <c:min val="8.0000000000000016E-2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20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Interest Spread %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cat>
            <c:strRef>
              <c:f>About!$B$58:$K$58</c:f>
              <c:strCache>
                <c:ptCount val="10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  <c:pt idx="4">
                  <c:v>FY17</c:v>
                </c:pt>
                <c:pt idx="5">
                  <c:v>FY18</c:v>
                </c:pt>
                <c:pt idx="6">
                  <c:v>FY19</c:v>
                </c:pt>
                <c:pt idx="7">
                  <c:v>FY20</c:v>
                </c:pt>
                <c:pt idx="8">
                  <c:v>FY21</c:v>
                </c:pt>
                <c:pt idx="9">
                  <c:v>FY22</c:v>
                </c:pt>
              </c:strCache>
            </c:strRef>
          </c:cat>
          <c:val>
            <c:numRef>
              <c:f>About!$B$60:$K$60</c:f>
              <c:numCache>
                <c:formatCode>0.00%</c:formatCode>
                <c:ptCount val="10"/>
                <c:pt idx="0">
                  <c:v>9.2399999999999996E-2</c:v>
                </c:pt>
                <c:pt idx="1">
                  <c:v>8.3900000000000002E-2</c:v>
                </c:pt>
                <c:pt idx="2">
                  <c:v>8.3799999999999999E-2</c:v>
                </c:pt>
                <c:pt idx="3">
                  <c:v>8.9200000000000002E-2</c:v>
                </c:pt>
                <c:pt idx="4">
                  <c:v>0.109</c:v>
                </c:pt>
                <c:pt idx="5">
                  <c:v>0.13450000000000001</c:v>
                </c:pt>
                <c:pt idx="6">
                  <c:v>0.12230000000000001</c:v>
                </c:pt>
                <c:pt idx="7">
                  <c:v>0.1404</c:v>
                </c:pt>
                <c:pt idx="8">
                  <c:v>0.13489999999999999</c:v>
                </c:pt>
                <c:pt idx="9">
                  <c:v>0.11990000000000001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3-4272-98DE-EBB55F7DF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358975"/>
        <c:axId val="430364799"/>
      </c:lineChart>
      <c:catAx>
        <c:axId val="43035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64799"/>
        <c:crosses val="autoZero"/>
        <c:auto val="1"/>
        <c:lblAlgn val="ctr"/>
        <c:lblOffset val="100"/>
        <c:noMultiLvlLbl val="0"/>
      </c:catAx>
      <c:valAx>
        <c:axId val="430364799"/>
        <c:scaling>
          <c:orientation val="minMax"/>
          <c:min val="7.0000000000000007E-2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58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Asset %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cat>
            <c:strRef>
              <c:f>About!$B$58:$K$58</c:f>
              <c:strCache>
                <c:ptCount val="10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  <c:pt idx="4">
                  <c:v>FY17</c:v>
                </c:pt>
                <c:pt idx="5">
                  <c:v>FY18</c:v>
                </c:pt>
                <c:pt idx="6">
                  <c:v>FY19</c:v>
                </c:pt>
                <c:pt idx="7">
                  <c:v>FY20</c:v>
                </c:pt>
                <c:pt idx="8">
                  <c:v>FY21</c:v>
                </c:pt>
                <c:pt idx="9">
                  <c:v>FY22</c:v>
                </c:pt>
              </c:strCache>
            </c:strRef>
          </c:cat>
          <c:val>
            <c:numRef>
              <c:f>About!$B$61:$K$61</c:f>
              <c:numCache>
                <c:formatCode>0.00%</c:formatCode>
                <c:ptCount val="10"/>
                <c:pt idx="0">
                  <c:v>4.0500000000000001E-2</c:v>
                </c:pt>
                <c:pt idx="1">
                  <c:v>3.2199999999999999E-2</c:v>
                </c:pt>
                <c:pt idx="2">
                  <c:v>3.0300000000000001E-2</c:v>
                </c:pt>
                <c:pt idx="3">
                  <c:v>3.32E-2</c:v>
                </c:pt>
                <c:pt idx="4">
                  <c:v>4.4699999999999997E-2</c:v>
                </c:pt>
                <c:pt idx="5">
                  <c:v>6.3600000000000004E-2</c:v>
                </c:pt>
                <c:pt idx="6">
                  <c:v>6.1899999999999997E-2</c:v>
                </c:pt>
                <c:pt idx="7">
                  <c:v>8.1100000000000005E-2</c:v>
                </c:pt>
                <c:pt idx="8">
                  <c:v>7.9899999999999999E-2</c:v>
                </c:pt>
                <c:pt idx="9">
                  <c:v>7.2400000000000006E-2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9-4973-B865-C47ADCDB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42303"/>
        <c:axId val="439160191"/>
      </c:lineChart>
      <c:catAx>
        <c:axId val="439142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0191"/>
        <c:crosses val="autoZero"/>
        <c:auto val="1"/>
        <c:lblAlgn val="ctr"/>
        <c:lblOffset val="100"/>
        <c:noMultiLvlLbl val="0"/>
      </c:catAx>
      <c:valAx>
        <c:axId val="439160191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4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 Loan Assets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cat>
            <c:strRef>
              <c:f>About!$B$58:$K$58</c:f>
              <c:strCache>
                <c:ptCount val="10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  <c:pt idx="4">
                  <c:v>FY17</c:v>
                </c:pt>
                <c:pt idx="5">
                  <c:v>FY18</c:v>
                </c:pt>
                <c:pt idx="6">
                  <c:v>FY19</c:v>
                </c:pt>
                <c:pt idx="7">
                  <c:v>FY20</c:v>
                </c:pt>
                <c:pt idx="8">
                  <c:v>FY21</c:v>
                </c:pt>
                <c:pt idx="9">
                  <c:v>FY22</c:v>
                </c:pt>
              </c:strCache>
            </c:strRef>
          </c:cat>
          <c:val>
            <c:numRef>
              <c:f>About!$B$62:$K$62</c:f>
              <c:numCache>
                <c:formatCode>_ [$₹-4009]\ * #,##0_ ;_ [$₹-4009]\ * \-#,##0_ ;_ [$₹-4009]\ * "-"??_ ;_ @_ </c:formatCode>
                <c:ptCount val="10"/>
                <c:pt idx="0">
                  <c:v>260</c:v>
                </c:pt>
                <c:pt idx="1">
                  <c:v>216</c:v>
                </c:pt>
                <c:pt idx="2">
                  <c:v>233</c:v>
                </c:pt>
                <c:pt idx="3">
                  <c:v>243</c:v>
                </c:pt>
                <c:pt idx="4">
                  <c:v>272</c:v>
                </c:pt>
                <c:pt idx="5">
                  <c:v>288</c:v>
                </c:pt>
                <c:pt idx="6">
                  <c:v>336</c:v>
                </c:pt>
                <c:pt idx="7">
                  <c:v>408</c:v>
                </c:pt>
                <c:pt idx="8">
                  <c:v>519</c:v>
                </c:pt>
                <c:pt idx="9">
                  <c:v>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7-4E4B-8AC9-27B01C8D2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53535"/>
        <c:axId val="439134815"/>
      </c:lineChart>
      <c:catAx>
        <c:axId val="439153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34815"/>
        <c:crosses val="autoZero"/>
        <c:auto val="1"/>
        <c:lblAlgn val="ctr"/>
        <c:lblOffset val="100"/>
        <c:noMultiLvlLbl val="0"/>
      </c:catAx>
      <c:valAx>
        <c:axId val="439134815"/>
        <c:scaling>
          <c:orientation val="minMax"/>
        </c:scaling>
        <c:delete val="0"/>
        <c:axPos val="l"/>
        <c:numFmt formatCode="_ [$₹-4009]\ * #,##0_ ;_ [$₹-4009]\ * \-#,##0_ ;_ [$₹-4009]\ * &quot;-&quot;??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3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Relationship between Muthoot</a:t>
            </a:r>
            <a:r>
              <a:rPr lang="en-US" baseline="0"/>
              <a:t> Finance's Revenues and Gold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'Muthoot &amp; Gold Relationship'!$C$3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AF235D">
                <a:alpha val="87000"/>
              </a:srgbClr>
            </a:solidFill>
            <a:ln>
              <a:noFill/>
            </a:ln>
            <a:effectLst/>
          </c:spPr>
          <c:invertIfNegative val="0"/>
          <c:cat>
            <c:strRef>
              <c:f>'Muthoot &amp; Gold Relationship'!$B$4:$B$47</c:f>
              <c:strCache>
                <c:ptCount val="44"/>
                <c:pt idx="0">
                  <c:v>FY22-Q4</c:v>
                </c:pt>
                <c:pt idx="1">
                  <c:v>FY22-Q3</c:v>
                </c:pt>
                <c:pt idx="2">
                  <c:v>FY22-Q2</c:v>
                </c:pt>
                <c:pt idx="3">
                  <c:v>FY22-Q1</c:v>
                </c:pt>
                <c:pt idx="4">
                  <c:v>FY21-Q4</c:v>
                </c:pt>
                <c:pt idx="5">
                  <c:v>FY21-Q3</c:v>
                </c:pt>
                <c:pt idx="6">
                  <c:v>FY21-Q2</c:v>
                </c:pt>
                <c:pt idx="7">
                  <c:v>FY21-Q1</c:v>
                </c:pt>
                <c:pt idx="8">
                  <c:v>FY20-Q4</c:v>
                </c:pt>
                <c:pt idx="9">
                  <c:v>FY20-Q3</c:v>
                </c:pt>
                <c:pt idx="10">
                  <c:v>FY20-Q2</c:v>
                </c:pt>
                <c:pt idx="11">
                  <c:v>FY20-Q1</c:v>
                </c:pt>
                <c:pt idx="12">
                  <c:v>FY19-Q4</c:v>
                </c:pt>
                <c:pt idx="13">
                  <c:v>FY19-Q3</c:v>
                </c:pt>
                <c:pt idx="14">
                  <c:v>FY19-Q2</c:v>
                </c:pt>
                <c:pt idx="15">
                  <c:v>FY19-Q1</c:v>
                </c:pt>
                <c:pt idx="16">
                  <c:v>FY18-Q4</c:v>
                </c:pt>
                <c:pt idx="17">
                  <c:v>FY18-Q3</c:v>
                </c:pt>
                <c:pt idx="18">
                  <c:v>FY18-Q2</c:v>
                </c:pt>
                <c:pt idx="19">
                  <c:v>FY18-Q1</c:v>
                </c:pt>
                <c:pt idx="20">
                  <c:v>FY17-Q4</c:v>
                </c:pt>
                <c:pt idx="21">
                  <c:v>FY17-Q3</c:v>
                </c:pt>
                <c:pt idx="22">
                  <c:v>FY17-Q2</c:v>
                </c:pt>
                <c:pt idx="23">
                  <c:v>FY17-Q1</c:v>
                </c:pt>
                <c:pt idx="24">
                  <c:v>FY16-Q4</c:v>
                </c:pt>
                <c:pt idx="25">
                  <c:v>FY16-Q3</c:v>
                </c:pt>
                <c:pt idx="26">
                  <c:v>FY16-Q2</c:v>
                </c:pt>
                <c:pt idx="27">
                  <c:v>FY16-Q1</c:v>
                </c:pt>
                <c:pt idx="28">
                  <c:v>FY15-Q4</c:v>
                </c:pt>
                <c:pt idx="29">
                  <c:v>FY15-Q3</c:v>
                </c:pt>
                <c:pt idx="30">
                  <c:v>FY15-Q2</c:v>
                </c:pt>
                <c:pt idx="31">
                  <c:v>FY15-Q1</c:v>
                </c:pt>
                <c:pt idx="32">
                  <c:v>FY14-Q4</c:v>
                </c:pt>
                <c:pt idx="33">
                  <c:v>FY14-Q3</c:v>
                </c:pt>
                <c:pt idx="34">
                  <c:v>FY14-Q2</c:v>
                </c:pt>
                <c:pt idx="35">
                  <c:v>FY14-Q1</c:v>
                </c:pt>
                <c:pt idx="36">
                  <c:v>FY13-Q4</c:v>
                </c:pt>
                <c:pt idx="37">
                  <c:v>FY13-Q3</c:v>
                </c:pt>
                <c:pt idx="38">
                  <c:v>FY13-Q2</c:v>
                </c:pt>
                <c:pt idx="39">
                  <c:v>FY13-Q1</c:v>
                </c:pt>
                <c:pt idx="40">
                  <c:v>FY12-Q4</c:v>
                </c:pt>
                <c:pt idx="41">
                  <c:v>FY12-Q3</c:v>
                </c:pt>
                <c:pt idx="42">
                  <c:v>FY12-Q2</c:v>
                </c:pt>
                <c:pt idx="43">
                  <c:v>FY12-Q1</c:v>
                </c:pt>
              </c:strCache>
            </c:strRef>
          </c:cat>
          <c:val>
            <c:numRef>
              <c:f>'Muthoot &amp; Gold Relationship'!$C$4:$C$47</c:f>
              <c:numCache>
                <c:formatCode>[$₹-4009]\ #,##0.0</c:formatCode>
                <c:ptCount val="44"/>
                <c:pt idx="0">
                  <c:v>26698.880000000001</c:v>
                </c:pt>
                <c:pt idx="1">
                  <c:v>28682.07</c:v>
                </c:pt>
                <c:pt idx="2">
                  <c:v>28304.3</c:v>
                </c:pt>
                <c:pt idx="3">
                  <c:v>27137.99</c:v>
                </c:pt>
                <c:pt idx="4">
                  <c:v>28238.54</c:v>
                </c:pt>
                <c:pt idx="5">
                  <c:v>27648.6</c:v>
                </c:pt>
                <c:pt idx="6">
                  <c:v>25834.15</c:v>
                </c:pt>
                <c:pt idx="7">
                  <c:v>23850.83</c:v>
                </c:pt>
                <c:pt idx="8">
                  <c:v>26305.02</c:v>
                </c:pt>
                <c:pt idx="9">
                  <c:v>23099.96</c:v>
                </c:pt>
                <c:pt idx="10">
                  <c:v>21368.880000000001</c:v>
                </c:pt>
                <c:pt idx="11">
                  <c:v>18568.23</c:v>
                </c:pt>
                <c:pt idx="12">
                  <c:v>18797.150000000001</c:v>
                </c:pt>
                <c:pt idx="13">
                  <c:v>17165.162</c:v>
                </c:pt>
                <c:pt idx="14">
                  <c:v>16496.313999999998</c:v>
                </c:pt>
                <c:pt idx="15">
                  <c:v>16322.956</c:v>
                </c:pt>
                <c:pt idx="16">
                  <c:v>16080.308999999999</c:v>
                </c:pt>
                <c:pt idx="17">
                  <c:v>15666.635</c:v>
                </c:pt>
                <c:pt idx="18">
                  <c:v>16699.302</c:v>
                </c:pt>
                <c:pt idx="19">
                  <c:v>13985.796</c:v>
                </c:pt>
                <c:pt idx="20">
                  <c:v>17123.197</c:v>
                </c:pt>
                <c:pt idx="21">
                  <c:v>13464.212</c:v>
                </c:pt>
                <c:pt idx="22">
                  <c:v>13817.49</c:v>
                </c:pt>
                <c:pt idx="23">
                  <c:v>12963.946</c:v>
                </c:pt>
                <c:pt idx="24">
                  <c:v>11469.464</c:v>
                </c:pt>
                <c:pt idx="25">
                  <c:v>11382.679</c:v>
                </c:pt>
                <c:pt idx="26">
                  <c:v>11361.298000000001</c:v>
                </c:pt>
                <c:pt idx="27">
                  <c:v>11400.564</c:v>
                </c:pt>
                <c:pt idx="28">
                  <c:v>11003.485000000001</c:v>
                </c:pt>
                <c:pt idx="29">
                  <c:v>10679.1</c:v>
                </c:pt>
                <c:pt idx="30">
                  <c:v>10582.867</c:v>
                </c:pt>
                <c:pt idx="31">
                  <c:v>10875.566999999999</c:v>
                </c:pt>
                <c:pt idx="32">
                  <c:v>11525.228999999999</c:v>
                </c:pt>
                <c:pt idx="33">
                  <c:v>11959.253000000001</c:v>
                </c:pt>
                <c:pt idx="34">
                  <c:v>12955.050999999999</c:v>
                </c:pt>
                <c:pt idx="35">
                  <c:v>12839.287</c:v>
                </c:pt>
                <c:pt idx="36">
                  <c:v>14061.983</c:v>
                </c:pt>
                <c:pt idx="37">
                  <c:v>13591.796</c:v>
                </c:pt>
                <c:pt idx="38">
                  <c:v>13060.606</c:v>
                </c:pt>
                <c:pt idx="39">
                  <c:v>12874.6</c:v>
                </c:pt>
                <c:pt idx="40">
                  <c:v>12876.788</c:v>
                </c:pt>
                <c:pt idx="41">
                  <c:v>12261.404</c:v>
                </c:pt>
                <c:pt idx="42">
                  <c:v>10984.088</c:v>
                </c:pt>
                <c:pt idx="43">
                  <c:v>9141.9639999999999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E-46D7-B5D1-A6F3D64F1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7431135"/>
        <c:axId val="937429887"/>
      </c:barChart>
      <c:lineChart>
        <c:grouping val="standard"/>
        <c:varyColors val="0"/>
        <c:ser>
          <c:idx val="1"/>
          <c:order val="1"/>
          <c:tx>
            <c:strRef>
              <c:f>'Muthoot &amp; Gold Relationship'!$D$3</c:f>
              <c:strCache>
                <c:ptCount val="1"/>
                <c:pt idx="0">
                  <c:v>Gold (per g)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'Muthoot &amp; Gold Relationship'!$B$4:$B$47</c:f>
              <c:strCache>
                <c:ptCount val="44"/>
                <c:pt idx="0">
                  <c:v>FY22-Q4</c:v>
                </c:pt>
                <c:pt idx="1">
                  <c:v>FY22-Q3</c:v>
                </c:pt>
                <c:pt idx="2">
                  <c:v>FY22-Q2</c:v>
                </c:pt>
                <c:pt idx="3">
                  <c:v>FY22-Q1</c:v>
                </c:pt>
                <c:pt idx="4">
                  <c:v>FY21-Q4</c:v>
                </c:pt>
                <c:pt idx="5">
                  <c:v>FY21-Q3</c:v>
                </c:pt>
                <c:pt idx="6">
                  <c:v>FY21-Q2</c:v>
                </c:pt>
                <c:pt idx="7">
                  <c:v>FY21-Q1</c:v>
                </c:pt>
                <c:pt idx="8">
                  <c:v>FY20-Q4</c:v>
                </c:pt>
                <c:pt idx="9">
                  <c:v>FY20-Q3</c:v>
                </c:pt>
                <c:pt idx="10">
                  <c:v>FY20-Q2</c:v>
                </c:pt>
                <c:pt idx="11">
                  <c:v>FY20-Q1</c:v>
                </c:pt>
                <c:pt idx="12">
                  <c:v>FY19-Q4</c:v>
                </c:pt>
                <c:pt idx="13">
                  <c:v>FY19-Q3</c:v>
                </c:pt>
                <c:pt idx="14">
                  <c:v>FY19-Q2</c:v>
                </c:pt>
                <c:pt idx="15">
                  <c:v>FY19-Q1</c:v>
                </c:pt>
                <c:pt idx="16">
                  <c:v>FY18-Q4</c:v>
                </c:pt>
                <c:pt idx="17">
                  <c:v>FY18-Q3</c:v>
                </c:pt>
                <c:pt idx="18">
                  <c:v>FY18-Q2</c:v>
                </c:pt>
                <c:pt idx="19">
                  <c:v>FY18-Q1</c:v>
                </c:pt>
                <c:pt idx="20">
                  <c:v>FY17-Q4</c:v>
                </c:pt>
                <c:pt idx="21">
                  <c:v>FY17-Q3</c:v>
                </c:pt>
                <c:pt idx="22">
                  <c:v>FY17-Q2</c:v>
                </c:pt>
                <c:pt idx="23">
                  <c:v>FY17-Q1</c:v>
                </c:pt>
                <c:pt idx="24">
                  <c:v>FY16-Q4</c:v>
                </c:pt>
                <c:pt idx="25">
                  <c:v>FY16-Q3</c:v>
                </c:pt>
                <c:pt idx="26">
                  <c:v>FY16-Q2</c:v>
                </c:pt>
                <c:pt idx="27">
                  <c:v>FY16-Q1</c:v>
                </c:pt>
                <c:pt idx="28">
                  <c:v>FY15-Q4</c:v>
                </c:pt>
                <c:pt idx="29">
                  <c:v>FY15-Q3</c:v>
                </c:pt>
                <c:pt idx="30">
                  <c:v>FY15-Q2</c:v>
                </c:pt>
                <c:pt idx="31">
                  <c:v>FY15-Q1</c:v>
                </c:pt>
                <c:pt idx="32">
                  <c:v>FY14-Q4</c:v>
                </c:pt>
                <c:pt idx="33">
                  <c:v>FY14-Q3</c:v>
                </c:pt>
                <c:pt idx="34">
                  <c:v>FY14-Q2</c:v>
                </c:pt>
                <c:pt idx="35">
                  <c:v>FY14-Q1</c:v>
                </c:pt>
                <c:pt idx="36">
                  <c:v>FY13-Q4</c:v>
                </c:pt>
                <c:pt idx="37">
                  <c:v>FY13-Q3</c:v>
                </c:pt>
                <c:pt idx="38">
                  <c:v>FY13-Q2</c:v>
                </c:pt>
                <c:pt idx="39">
                  <c:v>FY13-Q1</c:v>
                </c:pt>
                <c:pt idx="40">
                  <c:v>FY12-Q4</c:v>
                </c:pt>
                <c:pt idx="41">
                  <c:v>FY12-Q3</c:v>
                </c:pt>
                <c:pt idx="42">
                  <c:v>FY12-Q2</c:v>
                </c:pt>
                <c:pt idx="43">
                  <c:v>FY12-Q1</c:v>
                </c:pt>
              </c:strCache>
            </c:strRef>
          </c:cat>
          <c:val>
            <c:numRef>
              <c:f>'Muthoot &amp; Gold Relationship'!$D$4:$D$47</c:f>
              <c:numCache>
                <c:formatCode>[$₹-4009]\ #,##0.00</c:formatCode>
                <c:ptCount val="44"/>
                <c:pt idx="0">
                  <c:v>5118.7851637595022</c:v>
                </c:pt>
                <c:pt idx="1">
                  <c:v>4723.5753716996778</c:v>
                </c:pt>
                <c:pt idx="2">
                  <c:v>4711.1942009559252</c:v>
                </c:pt>
                <c:pt idx="3">
                  <c:v>4755.5336072946611</c:v>
                </c:pt>
                <c:pt idx="4">
                  <c:v>4619.6229210391721</c:v>
                </c:pt>
                <c:pt idx="5">
                  <c:v>4745.6921638829608</c:v>
                </c:pt>
                <c:pt idx="6">
                  <c:v>4940.0871267570856</c:v>
                </c:pt>
                <c:pt idx="7">
                  <c:v>5219.1043933755445</c:v>
                </c:pt>
                <c:pt idx="8">
                  <c:v>4464.5584578211256</c:v>
                </c:pt>
                <c:pt idx="9">
                  <c:v>4011.8873348736311</c:v>
                </c:pt>
                <c:pt idx="10">
                  <c:v>3787.4742058942838</c:v>
                </c:pt>
                <c:pt idx="11">
                  <c:v>3433.6055309617454</c:v>
                </c:pt>
                <c:pt idx="12">
                  <c:v>3152.3307289370182</c:v>
                </c:pt>
                <c:pt idx="13">
                  <c:v>3306.9366302756662</c:v>
                </c:pt>
                <c:pt idx="14">
                  <c:v>3166.6872431612551</c:v>
                </c:pt>
                <c:pt idx="15">
                  <c:v>2953.9145311204784</c:v>
                </c:pt>
                <c:pt idx="16">
                  <c:v>3082.1707613890899</c:v>
                </c:pt>
                <c:pt idx="17">
                  <c:v>3013.6686714051393</c:v>
                </c:pt>
                <c:pt idx="18">
                  <c:v>2902.9436145258296</c:v>
                </c:pt>
                <c:pt idx="19">
                  <c:v>2872.7843524577156</c:v>
                </c:pt>
                <c:pt idx="20">
                  <c:v>2873.8425721794038</c:v>
                </c:pt>
                <c:pt idx="21">
                  <c:v>2880.4740824353166</c:v>
                </c:pt>
                <c:pt idx="22">
                  <c:v>3004.038871937777</c:v>
                </c:pt>
                <c:pt idx="23">
                  <c:v>3173.742041305843</c:v>
                </c:pt>
                <c:pt idx="24">
                  <c:v>3029.965255119138</c:v>
                </c:pt>
                <c:pt idx="25">
                  <c:v>2675.6027443164785</c:v>
                </c:pt>
                <c:pt idx="26">
                  <c:v>2635.0023809943741</c:v>
                </c:pt>
                <c:pt idx="27">
                  <c:v>2472.036543854389</c:v>
                </c:pt>
                <c:pt idx="28">
                  <c:v>2652.745198328013</c:v>
                </c:pt>
                <c:pt idx="29">
                  <c:v>2807.421647648107</c:v>
                </c:pt>
                <c:pt idx="30">
                  <c:v>2539.8684280146035</c:v>
                </c:pt>
                <c:pt idx="31">
                  <c:v>2738.7784617012649</c:v>
                </c:pt>
                <c:pt idx="32">
                  <c:v>2748.0202472706751</c:v>
                </c:pt>
                <c:pt idx="33">
                  <c:v>2749.9955907511599</c:v>
                </c:pt>
                <c:pt idx="34">
                  <c:v>2874.3716820402478</c:v>
                </c:pt>
                <c:pt idx="35">
                  <c:v>2837.1928958182684</c:v>
                </c:pt>
                <c:pt idx="36">
                  <c:v>2794.8288329600168</c:v>
                </c:pt>
                <c:pt idx="37">
                  <c:v>3124.3937282844495</c:v>
                </c:pt>
                <c:pt idx="38">
                  <c:v>3263.1616077884973</c:v>
                </c:pt>
                <c:pt idx="39">
                  <c:v>3162.701282209563</c:v>
                </c:pt>
                <c:pt idx="40">
                  <c:v>3090.1074093017514</c:v>
                </c:pt>
                <c:pt idx="41" formatCode="[$₹-4009]\ #,##0.00;[$₹-4009]\ \-#,##0.00">
                  <c:v>3036.4556694121588</c:v>
                </c:pt>
                <c:pt idx="42" formatCode="[$₹-4009]\ #,##0.00;[$₹-4009]\ \-#,##0.00">
                  <c:v>2942.4857581262459</c:v>
                </c:pt>
                <c:pt idx="43" formatCode="[$₹-4009]\ #,##0.00;[$₹-4009]\ \-#,##0.00">
                  <c:v>2535.3180832113444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E-46D7-B5D1-A6F3D64F1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7434047"/>
        <c:axId val="937433631"/>
      </c:lineChart>
      <c:catAx>
        <c:axId val="93743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29887"/>
        <c:crosses val="autoZero"/>
        <c:auto val="1"/>
        <c:lblAlgn val="ctr"/>
        <c:lblOffset val="100"/>
        <c:noMultiLvlLbl val="0"/>
      </c:catAx>
      <c:valAx>
        <c:axId val="9374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₹-4009]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31135"/>
        <c:crosses val="autoZero"/>
        <c:crossBetween val="between"/>
      </c:valAx>
      <c:valAx>
        <c:axId val="937433631"/>
        <c:scaling>
          <c:orientation val="minMax"/>
        </c:scaling>
        <c:delete val="0"/>
        <c:axPos val="r"/>
        <c:numFmt formatCode="[$₹-4009]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34047"/>
        <c:crosses val="max"/>
        <c:crossBetween val="between"/>
      </c:valAx>
      <c:catAx>
        <c:axId val="9374340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743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4</xdr:row>
      <xdr:rowOff>9525</xdr:rowOff>
    </xdr:from>
    <xdr:to>
      <xdr:col>13</xdr:col>
      <xdr:colOff>180975</xdr:colOff>
      <xdr:row>20</xdr:row>
      <xdr:rowOff>76200</xdr:rowOff>
    </xdr:to>
    <xdr:pic>
      <xdr:nvPicPr>
        <xdr:cNvPr id="6" name="Picture 5" descr="Muthoot Finance Logo PNG Vector - FREE Vector Design - Cdr, Ai, EPS, PNG,  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143000"/>
          <a:ext cx="7477125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28576</xdr:colOff>
      <xdr:row>5</xdr:row>
      <xdr:rowOff>0</xdr:rowOff>
    </xdr:from>
    <xdr:to>
      <xdr:col>6</xdr:col>
      <xdr:colOff>115695</xdr:colOff>
      <xdr:row>10</xdr:row>
      <xdr:rowOff>47625</xdr:rowOff>
    </xdr:to>
    <xdr:sp macro="" textlink="">
      <xdr:nvSpPr>
        <xdr:cNvPr id="2" name="TextBox 1"/>
        <xdr:cNvSpPr txBox="1"/>
      </xdr:nvSpPr>
      <xdr:spPr>
        <a:xfrm>
          <a:off x="161926" y="809625"/>
          <a:ext cx="5287769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About Muthoot</a:t>
          </a:r>
          <a:r>
            <a:rPr lang="en-US" sz="900" b="1" baseline="0">
              <a:latin typeface="Arial" panose="020B0604020202020204" pitchFamily="34" charset="0"/>
              <a:cs typeface="Arial" panose="020B0604020202020204" pitchFamily="34" charset="0"/>
            </a:rPr>
            <a:t> Finance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Muthoot Finance is engaged in the business of diversified interests in the fields of Financial Services, Healthcare, Real Estate, Plantations, Foreign Exchange, Information Technology, Education, Insurance Distribution, Hospitality etc.</a:t>
          </a:r>
        </a:p>
      </xdr:txBody>
    </xdr:sp>
    <xdr:clientData/>
  </xdr:twoCellAnchor>
  <xdr:twoCellAnchor>
    <xdr:from>
      <xdr:col>1</xdr:col>
      <xdr:colOff>28574</xdr:colOff>
      <xdr:row>11</xdr:row>
      <xdr:rowOff>19050</xdr:rowOff>
    </xdr:from>
    <xdr:to>
      <xdr:col>6</xdr:col>
      <xdr:colOff>133350</xdr:colOff>
      <xdr:row>24</xdr:row>
      <xdr:rowOff>38100</xdr:rowOff>
    </xdr:to>
    <xdr:sp macro="" textlink="">
      <xdr:nvSpPr>
        <xdr:cNvPr id="6" name="TextBox 5"/>
        <xdr:cNvSpPr txBox="1"/>
      </xdr:nvSpPr>
      <xdr:spPr>
        <a:xfrm>
          <a:off x="161924" y="1743075"/>
          <a:ext cx="5305426" cy="200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Borrowing mix</a:t>
          </a:r>
          <a:r>
            <a:rPr lang="en-US" sz="900" b="1" baseline="0">
              <a:latin typeface="Arial" panose="020B0604020202020204" pitchFamily="34" charset="0"/>
              <a:cs typeface="Arial" panose="020B0604020202020204" pitchFamily="34" charset="0"/>
            </a:rPr>
            <a:t> -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42% of outstanding borrowings are sourced from banks and financial institutions, 28% from NCDs, 16% from ECBs, and 10% from commercial papers</a:t>
          </a:r>
        </a:p>
        <a:p>
          <a:endParaRPr lang="en-US" sz="900" b="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Geographical distribution</a:t>
          </a:r>
          <a:r>
            <a:rPr lang="en-US" sz="900" b="1" baseline="0">
              <a:latin typeface="Arial" panose="020B0604020202020204" pitchFamily="34" charset="0"/>
              <a:cs typeface="Arial" panose="020B0604020202020204" pitchFamily="34" charset="0"/>
            </a:rPr>
            <a:t> -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49% of outstanding gold loans are sourced from South India, 23% from North India, 19% from West India and 9% from East India.</a:t>
          </a:r>
        </a:p>
        <a:p>
          <a:endParaRPr lang="en-US" sz="900" b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Muthoot is tied to Gold-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Due to rapid increase in gold prices, Muthoot grew their branch network &gt;7.4x in a period of 6-years, from 551 branches in FY07 to 4,082 in FY13. During this period, AUM grew at &gt;62% CAGR reaching 26,000 Cr. in FY13 from 1,420 Cr. in FY07. Gold tonnage increased to 134 ton in FY13 from 23 ton in FY07.</a:t>
          </a:r>
          <a:endParaRPr lang="en-US" sz="9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9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As a result, RBI removed priority sector status for gold financiers in March 2012 and further reduced loan to value ratio to 60% for NBFCs vs 85% for banks. This was later normalized to the previous limit in September 2013.</a:t>
          </a:r>
        </a:p>
        <a:p>
          <a:endParaRPr lang="en-US" sz="9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333375</xdr:colOff>
      <xdr:row>1</xdr:row>
      <xdr:rowOff>24043</xdr:rowOff>
    </xdr:from>
    <xdr:to>
      <xdr:col>11</xdr:col>
      <xdr:colOff>133081</xdr:colOff>
      <xdr:row>15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1</xdr:row>
      <xdr:rowOff>28575</xdr:rowOff>
    </xdr:from>
    <xdr:to>
      <xdr:col>16</xdr:col>
      <xdr:colOff>523875</xdr:colOff>
      <xdr:row>15</xdr:row>
      <xdr:rowOff>4763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342899</xdr:colOff>
      <xdr:row>16</xdr:row>
      <xdr:rowOff>28805</xdr:rowOff>
    </xdr:from>
    <xdr:to>
      <xdr:col>11</xdr:col>
      <xdr:colOff>142606</xdr:colOff>
      <xdr:row>30</xdr:row>
      <xdr:rowOff>14287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219075</xdr:colOff>
      <xdr:row>16</xdr:row>
      <xdr:rowOff>28805</xdr:rowOff>
    </xdr:from>
    <xdr:to>
      <xdr:col>16</xdr:col>
      <xdr:colOff>533132</xdr:colOff>
      <xdr:row>30</xdr:row>
      <xdr:rowOff>14287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123826</xdr:colOff>
      <xdr:row>0</xdr:row>
      <xdr:rowOff>57150</xdr:rowOff>
    </xdr:from>
    <xdr:to>
      <xdr:col>14</xdr:col>
      <xdr:colOff>104775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rendlyne.com/equity/EPS/NIFTY50/1887/nifty-50-earnings-per-share/" TargetMode="External"/><Relationship Id="rId2" Type="http://schemas.openxmlformats.org/officeDocument/2006/relationships/hyperlink" Target="https://trendlyne.com/equity/DIV/NIFTY50/1887/nifty-50-dividend-yield/" TargetMode="External"/><Relationship Id="rId1" Type="http://schemas.openxmlformats.org/officeDocument/2006/relationships/hyperlink" Target="https://www.google.co.in/search?ie=UTF-8&amp;oe=UTF-8&amp;sourceid=navclient&amp;gfns=1&amp;q=Nifty50+Dividend+Points&amp;gws_rd=ssl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in.investing.com/rates-bonds/india-10-year-bond-yield-historical-data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tradingeconomics.com/india/corporate-tax-rat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B1:O15"/>
  <sheetViews>
    <sheetView tabSelected="1" workbookViewId="0"/>
  </sheetViews>
  <sheetFormatPr defaultColWidth="9.140625" defaultRowHeight="12.75"/>
  <cols>
    <col min="1" max="1" width="2" style="57" customWidth="1"/>
    <col min="2" max="8" width="9.140625" style="57"/>
    <col min="9" max="9" width="11.42578125" style="57" customWidth="1"/>
    <col min="10" max="16384" width="9.140625" style="57"/>
  </cols>
  <sheetData>
    <row r="1" spans="2:15" ht="50.25">
      <c r="B1" s="58" t="s">
        <v>135</v>
      </c>
    </row>
    <row r="3" spans="2:15" ht="13.5" customHeight="1">
      <c r="F3" s="58"/>
      <c r="H3" s="58"/>
    </row>
    <row r="6" spans="2:15" ht="15">
      <c r="D6"/>
    </row>
    <row r="8" spans="2:15" ht="15">
      <c r="D8"/>
    </row>
    <row r="9" spans="2:15">
      <c r="C9" s="59"/>
    </row>
    <row r="10" spans="2:15">
      <c r="C10" s="59"/>
    </row>
    <row r="12" spans="2:15" ht="15">
      <c r="J12"/>
    </row>
    <row r="13" spans="2:15">
      <c r="O13" s="60"/>
    </row>
    <row r="15" spans="2:15" ht="15">
      <c r="J1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62"/>
  <sheetViews>
    <sheetView zoomScaleNormal="100" workbookViewId="0"/>
  </sheetViews>
  <sheetFormatPr defaultRowHeight="12"/>
  <cols>
    <col min="1" max="1" width="2" style="2" customWidth="1"/>
    <col min="2" max="2" width="22.85546875" style="2" customWidth="1"/>
    <col min="3" max="3" width="15.85546875" style="2" bestFit="1" customWidth="1"/>
    <col min="4" max="4" width="11.7109375" style="2" customWidth="1"/>
    <col min="5" max="5" width="17.5703125" style="2" customWidth="1"/>
    <col min="6" max="6" width="10" style="13" bestFit="1" customWidth="1"/>
    <col min="7" max="8" width="11.42578125" style="2" customWidth="1"/>
    <col min="9" max="10" width="9.85546875" style="2" customWidth="1"/>
    <col min="11" max="11" width="10" style="2" customWidth="1"/>
    <col min="12" max="12" width="7.85546875" style="2" customWidth="1"/>
    <col min="13" max="13" width="9.5703125" style="2" customWidth="1"/>
    <col min="14" max="16384" width="9.140625" style="2"/>
  </cols>
  <sheetData>
    <row r="1" spans="2:20" ht="15.75">
      <c r="B1" s="16" t="s">
        <v>136</v>
      </c>
      <c r="E1" s="3"/>
      <c r="F1" s="63"/>
      <c r="G1" s="3"/>
      <c r="H1" s="3"/>
      <c r="I1" s="3"/>
      <c r="J1" s="3"/>
      <c r="K1" s="3"/>
      <c r="L1" s="3"/>
      <c r="M1" s="3"/>
      <c r="N1" s="3"/>
    </row>
    <row r="2" spans="2:20">
      <c r="E2" s="3"/>
      <c r="F2" s="63"/>
      <c r="G2" s="3"/>
      <c r="H2" s="3"/>
      <c r="I2" s="3"/>
      <c r="J2" s="3"/>
      <c r="K2" s="3"/>
      <c r="L2" s="3"/>
      <c r="M2" s="3"/>
      <c r="N2" s="3"/>
    </row>
    <row r="3" spans="2:20">
      <c r="B3" s="3" t="s">
        <v>137</v>
      </c>
      <c r="C3" s="81" t="s">
        <v>112</v>
      </c>
      <c r="D3" s="21"/>
      <c r="E3" s="46"/>
      <c r="F3" s="120"/>
      <c r="G3" s="116"/>
      <c r="H3" s="103"/>
    </row>
    <row r="4" spans="2:20">
      <c r="B4" s="2" t="s">
        <v>138</v>
      </c>
      <c r="C4" s="209" t="s">
        <v>139</v>
      </c>
      <c r="D4" s="6"/>
      <c r="E4" s="3"/>
      <c r="F4" s="67"/>
      <c r="G4" s="117"/>
      <c r="H4" s="118"/>
    </row>
    <row r="5" spans="2:20">
      <c r="D5" s="6"/>
      <c r="E5" s="3"/>
      <c r="F5" s="67"/>
      <c r="G5" s="117"/>
      <c r="H5" s="118"/>
    </row>
    <row r="6" spans="2:20">
      <c r="C6" s="74"/>
      <c r="D6" s="23"/>
      <c r="E6" s="3"/>
      <c r="F6" s="67"/>
      <c r="G6" s="117"/>
      <c r="H6" s="118"/>
    </row>
    <row r="7" spans="2:20">
      <c r="C7" s="75"/>
      <c r="D7" s="6"/>
      <c r="E7" s="3"/>
      <c r="F7" s="67"/>
      <c r="G7" s="117"/>
      <c r="H7" s="118"/>
    </row>
    <row r="8" spans="2:20">
      <c r="C8" s="45"/>
      <c r="D8" s="6"/>
      <c r="E8" s="3"/>
      <c r="F8" s="67"/>
      <c r="G8" s="117"/>
      <c r="H8" s="118"/>
    </row>
    <row r="9" spans="2:20">
      <c r="B9" s="3"/>
      <c r="C9" s="81"/>
      <c r="D9" s="6"/>
      <c r="E9" s="3"/>
      <c r="F9" s="67"/>
      <c r="G9" s="117"/>
      <c r="H9" s="118"/>
      <c r="S9" s="82"/>
      <c r="T9" s="82"/>
    </row>
    <row r="10" spans="2:20">
      <c r="B10" s="3"/>
      <c r="C10" s="81"/>
      <c r="D10" s="6"/>
      <c r="E10" s="3"/>
      <c r="F10" s="67"/>
      <c r="G10" s="117"/>
      <c r="H10" s="118"/>
    </row>
    <row r="11" spans="2:20">
      <c r="B11" s="3"/>
      <c r="C11" s="82"/>
      <c r="D11" s="6"/>
      <c r="E11" s="3"/>
      <c r="F11" s="67"/>
      <c r="G11" s="117"/>
      <c r="H11" s="118"/>
      <c r="I11" s="46"/>
      <c r="J11" s="65"/>
      <c r="K11" s="3"/>
      <c r="L11" s="79"/>
      <c r="M11" s="88"/>
      <c r="N11" s="3"/>
    </row>
    <row r="12" spans="2:20">
      <c r="B12" s="3"/>
      <c r="C12" s="3"/>
      <c r="D12" s="6"/>
      <c r="E12" s="3"/>
      <c r="F12" s="67"/>
      <c r="G12" s="117"/>
      <c r="H12" s="118"/>
      <c r="I12" s="46"/>
      <c r="J12" s="65"/>
      <c r="K12" s="3"/>
      <c r="L12" s="62"/>
      <c r="M12" s="88"/>
      <c r="N12" s="3"/>
    </row>
    <row r="13" spans="2:20">
      <c r="B13" s="3"/>
      <c r="C13" s="56"/>
      <c r="D13" s="6"/>
      <c r="E13" s="3"/>
      <c r="F13" s="67"/>
      <c r="G13" s="117"/>
      <c r="H13" s="118"/>
      <c r="I13" s="46"/>
      <c r="J13" s="65"/>
      <c r="K13" s="3"/>
      <c r="L13" s="3"/>
      <c r="M13" s="3"/>
      <c r="N13" s="3"/>
    </row>
    <row r="14" spans="2:20">
      <c r="B14" s="22"/>
      <c r="C14" s="22"/>
      <c r="D14" s="23"/>
      <c r="E14" s="3"/>
      <c r="F14" s="66"/>
      <c r="G14" s="7"/>
      <c r="H14" s="3"/>
      <c r="I14" s="46"/>
      <c r="J14" s="22"/>
      <c r="K14" s="3"/>
      <c r="L14" s="3"/>
      <c r="M14" s="3"/>
      <c r="N14" s="3"/>
    </row>
    <row r="15" spans="2:20">
      <c r="B15" s="3"/>
      <c r="C15" s="126"/>
      <c r="D15" s="6"/>
      <c r="E15" s="46"/>
      <c r="F15" s="62"/>
      <c r="G15" s="3"/>
      <c r="H15" s="3"/>
      <c r="I15" s="3"/>
      <c r="J15" s="3"/>
      <c r="K15" s="3"/>
      <c r="L15" s="3"/>
      <c r="M15" s="3"/>
      <c r="N15" s="3"/>
    </row>
    <row r="16" spans="2:20">
      <c r="B16" s="3"/>
      <c r="C16" s="3"/>
      <c r="D16" s="6"/>
      <c r="E16" s="46"/>
      <c r="F16" s="79"/>
      <c r="G16" s="80"/>
      <c r="H16" s="44"/>
      <c r="I16" s="3"/>
      <c r="J16" s="3"/>
      <c r="K16" s="3"/>
      <c r="L16" s="3"/>
      <c r="M16" s="3"/>
      <c r="N16" s="3"/>
    </row>
    <row r="17" spans="2:14">
      <c r="B17" s="3"/>
      <c r="C17" s="75"/>
      <c r="D17" s="6"/>
      <c r="E17" s="46"/>
      <c r="F17" s="62"/>
      <c r="G17" s="80"/>
      <c r="H17" s="3"/>
      <c r="I17" s="3"/>
      <c r="J17" s="3"/>
      <c r="K17" s="3"/>
      <c r="L17" s="3"/>
      <c r="M17" s="3"/>
      <c r="N17" s="3"/>
    </row>
    <row r="18" spans="2:14">
      <c r="B18" s="3"/>
      <c r="C18" s="3"/>
      <c r="D18" s="23"/>
      <c r="E18" s="46"/>
      <c r="F18" s="62"/>
      <c r="G18" s="3"/>
      <c r="H18" s="3"/>
      <c r="I18" s="3"/>
      <c r="J18" s="3"/>
      <c r="K18" s="3"/>
      <c r="L18" s="3"/>
      <c r="M18" s="3"/>
      <c r="N18" s="3"/>
    </row>
    <row r="19" spans="2:14">
      <c r="B19" s="22"/>
      <c r="C19" s="22"/>
      <c r="D19" s="6"/>
      <c r="E19" s="46"/>
      <c r="F19" s="62"/>
      <c r="G19" s="3"/>
      <c r="H19" s="3"/>
      <c r="I19" s="3"/>
      <c r="J19" s="3"/>
      <c r="K19" s="3"/>
      <c r="L19" s="3"/>
      <c r="M19" s="3"/>
      <c r="N19" s="3"/>
    </row>
    <row r="20" spans="2:14">
      <c r="B20" s="3"/>
      <c r="C20" s="3"/>
      <c r="D20" s="6"/>
      <c r="E20" s="119"/>
      <c r="F20" s="121"/>
      <c r="G20" s="121"/>
      <c r="H20" s="121"/>
      <c r="I20" s="121"/>
      <c r="J20" s="121"/>
      <c r="K20" s="121"/>
      <c r="L20" s="3"/>
      <c r="M20" s="3"/>
      <c r="N20" s="3"/>
    </row>
    <row r="21" spans="2:14">
      <c r="B21" s="3"/>
      <c r="C21" s="3"/>
      <c r="D21" s="6"/>
      <c r="E21" s="99"/>
      <c r="F21" s="122"/>
      <c r="G21" s="7"/>
      <c r="H21" s="7"/>
      <c r="I21" s="7"/>
      <c r="J21" s="7"/>
      <c r="K21" s="7"/>
      <c r="L21" s="3"/>
      <c r="M21" s="3"/>
      <c r="N21" s="3"/>
    </row>
    <row r="22" spans="2:14">
      <c r="B22" s="3"/>
      <c r="C22" s="3"/>
      <c r="D22" s="6"/>
      <c r="E22" s="46"/>
      <c r="F22" s="63"/>
      <c r="G22" s="63"/>
      <c r="H22" s="63"/>
      <c r="I22" s="100"/>
      <c r="J22" s="62"/>
      <c r="K22" s="63"/>
      <c r="L22" s="3"/>
      <c r="M22" s="3"/>
      <c r="N22" s="3"/>
    </row>
    <row r="23" spans="2:14">
      <c r="B23" s="22"/>
      <c r="C23" s="22"/>
      <c r="D23" s="23"/>
      <c r="E23" s="46"/>
      <c r="F23" s="3"/>
      <c r="G23" s="3"/>
      <c r="H23" s="3"/>
      <c r="I23" s="3"/>
      <c r="J23" s="3"/>
      <c r="K23" s="3"/>
      <c r="L23" s="123"/>
      <c r="M23" s="3"/>
      <c r="N23" s="3"/>
    </row>
    <row r="24" spans="2:14">
      <c r="B24" s="3"/>
      <c r="C24" s="3"/>
      <c r="D24" s="6"/>
      <c r="E24" s="46"/>
      <c r="F24" s="3"/>
      <c r="G24" s="3"/>
      <c r="H24" s="3"/>
      <c r="I24" s="3"/>
      <c r="J24" s="3"/>
      <c r="K24" s="3"/>
      <c r="L24" s="3"/>
      <c r="M24" s="3"/>
      <c r="N24" s="3"/>
    </row>
    <row r="25" spans="2:14">
      <c r="B25" s="3"/>
      <c r="C25" s="3"/>
      <c r="D25" s="6"/>
      <c r="E25" s="6"/>
      <c r="F25" s="63"/>
      <c r="G25" s="3"/>
      <c r="H25" s="79"/>
      <c r="I25" s="80"/>
      <c r="J25" s="3"/>
      <c r="K25" s="3"/>
      <c r="L25" s="3"/>
      <c r="M25" s="3"/>
      <c r="N25" s="3"/>
    </row>
    <row r="26" spans="2:14">
      <c r="B26" s="3"/>
      <c r="C26" s="3"/>
      <c r="D26" s="6"/>
      <c r="E26" s="23"/>
      <c r="F26" s="45"/>
      <c r="G26" s="3"/>
      <c r="H26" s="62"/>
      <c r="I26" s="80"/>
      <c r="J26" s="3"/>
      <c r="K26" s="3"/>
      <c r="L26" s="124"/>
      <c r="M26" s="3"/>
      <c r="N26" s="3"/>
    </row>
    <row r="27" spans="2:14">
      <c r="B27" s="3"/>
      <c r="C27" s="3"/>
      <c r="D27" s="23"/>
      <c r="E27" s="22"/>
      <c r="F27" s="125"/>
      <c r="G27" s="3"/>
      <c r="H27" s="3"/>
      <c r="I27" s="3"/>
      <c r="J27" s="3"/>
      <c r="K27" s="3"/>
      <c r="L27" s="3"/>
      <c r="M27" s="3"/>
      <c r="N27" s="3"/>
    </row>
    <row r="28" spans="2:14">
      <c r="B28" s="3"/>
      <c r="C28" s="3"/>
      <c r="D28" s="7"/>
      <c r="E28" s="22"/>
      <c r="F28" s="125"/>
      <c r="G28" s="3"/>
      <c r="H28" s="3"/>
      <c r="I28" s="3"/>
      <c r="J28" s="3"/>
      <c r="K28" s="3"/>
      <c r="L28" s="3"/>
      <c r="M28" s="3"/>
      <c r="N28" s="3"/>
    </row>
    <row r="29" spans="2:14">
      <c r="B29" s="3"/>
      <c r="C29" s="3"/>
      <c r="D29" s="3"/>
      <c r="E29" s="3"/>
      <c r="F29" s="63"/>
      <c r="G29" s="3"/>
      <c r="H29" s="3"/>
      <c r="I29" s="3"/>
      <c r="J29" s="3"/>
      <c r="K29" s="3"/>
      <c r="L29" s="3"/>
      <c r="M29" s="3"/>
      <c r="N29" s="3"/>
    </row>
    <row r="30" spans="2:14">
      <c r="B30" s="3"/>
      <c r="C30" s="3"/>
      <c r="D30" s="3"/>
      <c r="E30" s="3"/>
      <c r="F30" s="63"/>
    </row>
    <row r="31" spans="2:14">
      <c r="D31" s="3"/>
      <c r="E31" s="3"/>
      <c r="F31" s="63"/>
    </row>
    <row r="32" spans="2:14">
      <c r="D32" s="3"/>
      <c r="E32" s="3"/>
      <c r="F32" s="63"/>
    </row>
    <row r="33" spans="4:6">
      <c r="D33" s="3"/>
      <c r="E33" s="3"/>
      <c r="F33" s="63"/>
    </row>
    <row r="34" spans="4:6">
      <c r="D34" s="3"/>
      <c r="E34" s="3"/>
      <c r="F34" s="63"/>
    </row>
    <row r="58" spans="2:11">
      <c r="B58" s="46" t="s">
        <v>55</v>
      </c>
      <c r="C58" s="46" t="s">
        <v>56</v>
      </c>
      <c r="D58" s="46" t="s">
        <v>57</v>
      </c>
      <c r="E58" s="46" t="s">
        <v>58</v>
      </c>
      <c r="F58" s="46" t="s">
        <v>59</v>
      </c>
      <c r="G58" s="46" t="s">
        <v>60</v>
      </c>
      <c r="H58" s="46" t="s">
        <v>61</v>
      </c>
      <c r="I58" s="46" t="s">
        <v>62</v>
      </c>
      <c r="J58" s="46" t="s">
        <v>63</v>
      </c>
      <c r="K58" s="46" t="s">
        <v>64</v>
      </c>
    </row>
    <row r="59" spans="2:11">
      <c r="B59" s="82">
        <v>0.1027</v>
      </c>
      <c r="C59" s="82">
        <v>9.4200000000000006E-2</v>
      </c>
      <c r="D59" s="82">
        <v>9.7900000000000001E-2</v>
      </c>
      <c r="E59" s="82">
        <v>0.1047</v>
      </c>
      <c r="F59" s="82">
        <v>0.12740000000000001</v>
      </c>
      <c r="G59" s="82">
        <v>0.15290000000000001</v>
      </c>
      <c r="H59" s="82">
        <v>0.14199999999999999</v>
      </c>
      <c r="I59" s="82">
        <v>0.1552</v>
      </c>
      <c r="J59" s="82">
        <v>0.1424</v>
      </c>
      <c r="K59" s="82">
        <v>0.13039999999999999</v>
      </c>
    </row>
    <row r="60" spans="2:11">
      <c r="B60" s="82">
        <v>9.2399999999999996E-2</v>
      </c>
      <c r="C60" s="82">
        <v>8.3900000000000002E-2</v>
      </c>
      <c r="D60" s="82">
        <v>8.3799999999999999E-2</v>
      </c>
      <c r="E60" s="82">
        <v>8.9200000000000002E-2</v>
      </c>
      <c r="F60" s="82">
        <v>0.109</v>
      </c>
      <c r="G60" s="82">
        <v>0.13450000000000001</v>
      </c>
      <c r="H60" s="82">
        <v>0.12230000000000001</v>
      </c>
      <c r="I60" s="82">
        <v>0.1404</v>
      </c>
      <c r="J60" s="82">
        <v>0.13489999999999999</v>
      </c>
      <c r="K60" s="82">
        <v>0.11990000000000001</v>
      </c>
    </row>
    <row r="61" spans="2:11">
      <c r="B61" s="82">
        <v>4.0500000000000001E-2</v>
      </c>
      <c r="C61" s="82">
        <v>3.2199999999999999E-2</v>
      </c>
      <c r="D61" s="82">
        <v>3.0300000000000001E-2</v>
      </c>
      <c r="E61" s="82">
        <v>3.32E-2</v>
      </c>
      <c r="F61" s="82">
        <v>4.4699999999999997E-2</v>
      </c>
      <c r="G61" s="82">
        <v>6.3600000000000004E-2</v>
      </c>
      <c r="H61" s="82">
        <v>6.1899999999999997E-2</v>
      </c>
      <c r="I61" s="82">
        <v>8.1100000000000005E-2</v>
      </c>
      <c r="J61" s="82">
        <v>7.9899999999999999E-2</v>
      </c>
      <c r="K61" s="82">
        <v>7.2400000000000006E-2</v>
      </c>
    </row>
    <row r="62" spans="2:11">
      <c r="B62" s="286">
        <v>260</v>
      </c>
      <c r="C62" s="286">
        <v>216</v>
      </c>
      <c r="D62" s="287">
        <v>233</v>
      </c>
      <c r="E62" s="288">
        <v>243</v>
      </c>
      <c r="F62" s="288">
        <v>272</v>
      </c>
      <c r="G62" s="287">
        <v>288</v>
      </c>
      <c r="H62" s="289">
        <v>336</v>
      </c>
      <c r="I62" s="289">
        <v>408</v>
      </c>
      <c r="J62" s="289">
        <v>519</v>
      </c>
      <c r="K62" s="289">
        <v>575</v>
      </c>
    </row>
  </sheetData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1:C28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35" t="s">
        <v>96</v>
      </c>
      <c r="C1" s="9"/>
    </row>
    <row r="2" spans="2:3">
      <c r="B2" s="36"/>
      <c r="C2" s="9"/>
    </row>
    <row r="3" spans="2:3">
      <c r="B3" s="9"/>
      <c r="C3" s="9"/>
    </row>
    <row r="4" spans="2:3">
      <c r="B4" s="61" t="s">
        <v>0</v>
      </c>
      <c r="C4" s="61" t="s">
        <v>1</v>
      </c>
    </row>
    <row r="5" spans="2:3">
      <c r="B5" s="39">
        <v>1</v>
      </c>
      <c r="C5" s="40" t="s">
        <v>3</v>
      </c>
    </row>
    <row r="6" spans="2:3">
      <c r="B6" s="37">
        <f>B5+1</f>
        <v>2</v>
      </c>
      <c r="C6" s="38" t="s">
        <v>5</v>
      </c>
    </row>
    <row r="7" spans="2:3">
      <c r="B7" s="37">
        <f t="shared" ref="B7:B13" si="0">B6+1</f>
        <v>3</v>
      </c>
      <c r="C7" s="38" t="s">
        <v>6</v>
      </c>
    </row>
    <row r="8" spans="2:3">
      <c r="B8" s="37">
        <f t="shared" si="0"/>
        <v>4</v>
      </c>
      <c r="C8" s="38" t="s">
        <v>2</v>
      </c>
    </row>
    <row r="9" spans="2:3">
      <c r="B9" s="37">
        <f t="shared" si="0"/>
        <v>5</v>
      </c>
      <c r="C9" s="38" t="s">
        <v>4</v>
      </c>
    </row>
    <row r="10" spans="2:3">
      <c r="B10" s="37">
        <f t="shared" si="0"/>
        <v>6</v>
      </c>
      <c r="C10" s="40" t="s">
        <v>133</v>
      </c>
    </row>
    <row r="11" spans="2:3">
      <c r="B11" s="37">
        <f t="shared" si="0"/>
        <v>7</v>
      </c>
      <c r="C11" s="38" t="s">
        <v>123</v>
      </c>
    </row>
    <row r="12" spans="2:3">
      <c r="B12" s="37">
        <f t="shared" si="0"/>
        <v>8</v>
      </c>
      <c r="C12" s="38" t="s">
        <v>98</v>
      </c>
    </row>
    <row r="13" spans="2:3">
      <c r="B13" s="37">
        <f t="shared" si="0"/>
        <v>9</v>
      </c>
      <c r="C13" s="38" t="s">
        <v>109</v>
      </c>
    </row>
    <row r="14" spans="2:3">
      <c r="B14" s="37"/>
      <c r="C14" s="38"/>
    </row>
    <row r="15" spans="2:3">
      <c r="B15" s="37"/>
      <c r="C15" s="243"/>
    </row>
    <row r="16" spans="2:3">
      <c r="B16" s="37"/>
      <c r="C16" s="38"/>
    </row>
    <row r="17" spans="2:3">
      <c r="B17" s="37"/>
      <c r="C17" s="38"/>
    </row>
    <row r="18" spans="2:3">
      <c r="B18" s="37"/>
      <c r="C18" s="38"/>
    </row>
    <row r="19" spans="2:3">
      <c r="B19" s="37"/>
      <c r="C19" s="38"/>
    </row>
    <row r="20" spans="2:3">
      <c r="B20" s="37"/>
      <c r="C20" s="38"/>
    </row>
    <row r="21" spans="2:3">
      <c r="B21" s="37"/>
      <c r="C21" s="38"/>
    </row>
    <row r="22" spans="2:3">
      <c r="B22" s="37"/>
      <c r="C22" s="38"/>
    </row>
    <row r="23" spans="2:3">
      <c r="B23" s="37"/>
      <c r="C23" s="38"/>
    </row>
    <row r="24" spans="2:3">
      <c r="B24" s="37"/>
      <c r="C24" s="38"/>
    </row>
    <row r="27" spans="2:3">
      <c r="B27" s="37"/>
      <c r="C27" s="38"/>
    </row>
    <row r="28" spans="2:3">
      <c r="B28" s="9"/>
      <c r="C28" s="9"/>
    </row>
  </sheetData>
  <hyperlinks>
    <hyperlink ref="C7" location="'Equity Risk Premium'!A1" display="Equity Risk Premium"/>
    <hyperlink ref="C8" location="Beta!A1" display="Beta"/>
    <hyperlink ref="C9" location="'Cost of Equity'!A1" display="Cost of Equity"/>
    <hyperlink ref="C6" location="'Risk Free Rate'!A1" display="Risk Free Rate"/>
    <hyperlink ref="C11" location="'Industry Numbers'!A1" display="Industry Numbers"/>
    <hyperlink ref="C12" location="'Future Cashflows (10 Yrs)'!A1" display="Future Cash Flows (10 Yrs)"/>
    <hyperlink ref="C13" location="'Fair Value of Share'!A1" display="Fair Value of Share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4"/>
  <sheetViews>
    <sheetView zoomScaleNormal="100" workbookViewId="0"/>
  </sheetViews>
  <sheetFormatPr defaultRowHeight="12"/>
  <cols>
    <col min="1" max="1" width="2" style="2" customWidth="1"/>
    <col min="2" max="2" width="34.85546875" style="2" customWidth="1"/>
    <col min="3" max="3" width="9.140625" style="2"/>
    <col min="4" max="4" width="6.140625" style="2" customWidth="1"/>
    <col min="5" max="5" width="11.5703125" style="2" bestFit="1" customWidth="1"/>
    <col min="6" max="6" width="18.85546875" style="2" customWidth="1"/>
    <col min="7" max="7" width="2.7109375" style="2" customWidth="1"/>
    <col min="8" max="8" width="30.42578125" style="2" customWidth="1"/>
    <col min="9" max="16384" width="9.140625" style="2"/>
  </cols>
  <sheetData>
    <row r="1" spans="2:13" ht="15.75">
      <c r="B1" s="16" t="s">
        <v>100</v>
      </c>
    </row>
    <row r="3" spans="2:13">
      <c r="B3" s="18" t="s">
        <v>5</v>
      </c>
      <c r="C3" s="53">
        <f>C5-C7</f>
        <v>5.5759999999999997E-2</v>
      </c>
      <c r="D3" s="21"/>
      <c r="E3" s="48" t="s">
        <v>40</v>
      </c>
      <c r="F3" s="49" t="s">
        <v>41</v>
      </c>
      <c r="I3" s="3"/>
      <c r="J3" s="3"/>
      <c r="K3" s="3"/>
    </row>
    <row r="4" spans="2:13">
      <c r="B4" s="3"/>
      <c r="C4" s="3"/>
      <c r="D4" s="6"/>
      <c r="E4" s="48" t="s">
        <v>25</v>
      </c>
      <c r="F4" s="12">
        <v>0</v>
      </c>
      <c r="I4" s="3"/>
      <c r="J4" s="3"/>
      <c r="K4" s="3"/>
    </row>
    <row r="5" spans="2:13">
      <c r="B5" s="18" t="s">
        <v>7</v>
      </c>
      <c r="C5" s="54">
        <v>7.4459999999999998E-2</v>
      </c>
      <c r="D5" s="6"/>
      <c r="E5" s="48" t="s">
        <v>26</v>
      </c>
      <c r="F5" s="12">
        <v>3.3999999999999998E-3</v>
      </c>
      <c r="I5" s="3"/>
      <c r="J5" s="3"/>
      <c r="K5" s="3"/>
      <c r="M5" s="3"/>
    </row>
    <row r="6" spans="2:13">
      <c r="B6" s="18" t="s">
        <v>8</v>
      </c>
      <c r="C6" s="55" t="s">
        <v>38</v>
      </c>
      <c r="D6" s="23"/>
      <c r="E6" s="48" t="s">
        <v>19</v>
      </c>
      <c r="F6" s="12">
        <v>4.1999999999999997E-3</v>
      </c>
      <c r="I6" s="3"/>
      <c r="J6" s="3"/>
      <c r="K6" s="3"/>
    </row>
    <row r="7" spans="2:13">
      <c r="B7" s="18" t="s">
        <v>9</v>
      </c>
      <c r="C7" s="52">
        <f>VLOOKUP(C6,$E$3:$F$24,2,0)</f>
        <v>1.8700000000000001E-2</v>
      </c>
      <c r="D7" s="6"/>
      <c r="E7" s="48" t="s">
        <v>30</v>
      </c>
      <c r="F7" s="12">
        <v>5.1000000000000004E-3</v>
      </c>
      <c r="I7" s="3"/>
      <c r="J7" s="3"/>
      <c r="K7" s="3"/>
    </row>
    <row r="8" spans="2:13">
      <c r="B8" s="3"/>
      <c r="C8" s="3"/>
      <c r="D8" s="6"/>
      <c r="E8" s="48" t="s">
        <v>35</v>
      </c>
      <c r="F8" s="45">
        <v>6.0000000000000001E-3</v>
      </c>
      <c r="I8" s="3"/>
      <c r="J8" s="3"/>
      <c r="K8" s="3"/>
    </row>
    <row r="9" spans="2:13">
      <c r="B9" s="51" t="s">
        <v>43</v>
      </c>
      <c r="C9" s="22"/>
      <c r="D9" s="6"/>
      <c r="E9" s="48" t="s">
        <v>32</v>
      </c>
      <c r="F9" s="12">
        <v>7.1999999999999998E-3</v>
      </c>
      <c r="I9" s="3"/>
      <c r="J9" s="3"/>
      <c r="K9" s="3"/>
    </row>
    <row r="10" spans="2:13">
      <c r="B10" s="3"/>
      <c r="C10" s="3"/>
      <c r="D10" s="6"/>
      <c r="E10" s="48" t="s">
        <v>33</v>
      </c>
      <c r="F10" s="12">
        <v>1.0200000000000001E-2</v>
      </c>
      <c r="I10" s="3"/>
      <c r="J10" s="3"/>
      <c r="K10" s="3"/>
    </row>
    <row r="11" spans="2:13">
      <c r="B11" s="47" t="s">
        <v>42</v>
      </c>
      <c r="C11" s="3"/>
      <c r="D11" s="6"/>
      <c r="E11" s="48" t="s">
        <v>34</v>
      </c>
      <c r="F11" s="12">
        <v>1.3599999999999999E-2</v>
      </c>
      <c r="I11" s="3"/>
      <c r="J11" s="3"/>
      <c r="K11" s="3"/>
    </row>
    <row r="12" spans="2:13">
      <c r="B12" s="50" t="s">
        <v>10</v>
      </c>
      <c r="C12" s="3"/>
      <c r="D12" s="6"/>
      <c r="E12" s="48" t="s">
        <v>21</v>
      </c>
      <c r="F12" s="12">
        <v>1.6199999999999999E-2</v>
      </c>
      <c r="I12" s="3"/>
      <c r="J12" s="3"/>
      <c r="K12" s="3"/>
    </row>
    <row r="13" spans="2:13">
      <c r="B13" s="50" t="s">
        <v>11</v>
      </c>
      <c r="C13" s="22"/>
      <c r="D13" s="6"/>
      <c r="E13" s="48" t="s">
        <v>38</v>
      </c>
      <c r="F13" s="12">
        <v>1.8700000000000001E-2</v>
      </c>
    </row>
    <row r="14" spans="2:13">
      <c r="B14" s="50" t="s">
        <v>12</v>
      </c>
      <c r="C14" s="3"/>
      <c r="D14" s="23"/>
      <c r="E14" s="48" t="s">
        <v>37</v>
      </c>
      <c r="F14" s="12">
        <v>2.1299999999999999E-2</v>
      </c>
    </row>
    <row r="15" spans="2:13">
      <c r="B15" s="50" t="s">
        <v>13</v>
      </c>
      <c r="C15" s="3"/>
      <c r="D15" s="6"/>
      <c r="E15" s="48" t="s">
        <v>27</v>
      </c>
      <c r="F15" s="12">
        <v>2.5600000000000001E-2</v>
      </c>
    </row>
    <row r="16" spans="2:13">
      <c r="B16" s="50" t="s">
        <v>14</v>
      </c>
      <c r="C16" s="3"/>
      <c r="D16" s="6"/>
      <c r="E16" s="48" t="s">
        <v>24</v>
      </c>
      <c r="F16" s="12">
        <v>3.0599999999999999E-2</v>
      </c>
    </row>
    <row r="17" spans="2:9">
      <c r="B17" s="50" t="s">
        <v>15</v>
      </c>
      <c r="C17" s="3"/>
      <c r="D17" s="6"/>
      <c r="E17" s="48" t="s">
        <v>20</v>
      </c>
      <c r="F17" s="12">
        <v>3.8300000000000001E-2</v>
      </c>
    </row>
    <row r="18" spans="2:9">
      <c r="B18" s="50" t="s">
        <v>16</v>
      </c>
      <c r="C18" s="22"/>
      <c r="D18" s="23"/>
      <c r="E18" s="48" t="s">
        <v>28</v>
      </c>
      <c r="F18" s="12">
        <v>4.6800000000000001E-2</v>
      </c>
    </row>
    <row r="19" spans="2:9">
      <c r="B19" s="50" t="s">
        <v>17</v>
      </c>
      <c r="C19" s="3"/>
      <c r="D19" s="6"/>
      <c r="E19" s="48" t="s">
        <v>22</v>
      </c>
      <c r="F19" s="12">
        <v>5.5300000000000002E-2</v>
      </c>
    </row>
    <row r="20" spans="2:9">
      <c r="B20" s="50" t="s">
        <v>18</v>
      </c>
      <c r="C20" s="3"/>
      <c r="D20" s="6"/>
      <c r="E20" s="48" t="s">
        <v>29</v>
      </c>
      <c r="F20" s="12">
        <v>6.3799999999999996E-2</v>
      </c>
    </row>
    <row r="21" spans="2:9">
      <c r="D21" s="6"/>
      <c r="E21" s="48" t="s">
        <v>36</v>
      </c>
      <c r="F21" s="12">
        <v>7.6600000000000001E-2</v>
      </c>
    </row>
    <row r="22" spans="2:9">
      <c r="B22" s="3"/>
      <c r="C22" s="3"/>
      <c r="D22" s="6"/>
      <c r="E22" s="48" t="s">
        <v>31</v>
      </c>
      <c r="F22" s="12">
        <v>8.5099999999999995E-2</v>
      </c>
    </row>
    <row r="23" spans="2:9">
      <c r="B23" s="22"/>
      <c r="C23" s="22"/>
      <c r="D23" s="23"/>
      <c r="E23" s="48" t="s">
        <v>23</v>
      </c>
      <c r="F23" s="12">
        <v>0.1021</v>
      </c>
      <c r="I23" s="4"/>
    </row>
    <row r="24" spans="2:9">
      <c r="B24" s="3"/>
      <c r="C24" s="3"/>
      <c r="D24" s="6"/>
      <c r="E24" s="48" t="s">
        <v>39</v>
      </c>
      <c r="F24" s="12">
        <v>0.17499999999999999</v>
      </c>
    </row>
    <row r="25" spans="2:9">
      <c r="B25" s="3"/>
      <c r="C25" s="3"/>
      <c r="D25" s="6"/>
      <c r="E25" s="6"/>
    </row>
    <row r="26" spans="2:9">
      <c r="B26" s="3"/>
      <c r="C26" s="3"/>
      <c r="D26" s="6"/>
      <c r="E26" s="6"/>
    </row>
    <row r="27" spans="2:9">
      <c r="B27" s="3"/>
      <c r="C27" s="3"/>
      <c r="D27" s="23"/>
      <c r="E27" s="23"/>
      <c r="F27" s="23"/>
    </row>
    <row r="28" spans="2:9">
      <c r="B28" s="3"/>
      <c r="C28" s="3"/>
      <c r="D28" s="3"/>
      <c r="E28" s="3"/>
      <c r="F28" s="3"/>
    </row>
    <row r="29" spans="2:9">
      <c r="B29" s="3"/>
      <c r="C29" s="3"/>
      <c r="D29" s="3"/>
      <c r="E29" s="3"/>
      <c r="F29" s="3"/>
    </row>
    <row r="30" spans="2:9">
      <c r="B30" s="3"/>
      <c r="C30" s="3"/>
      <c r="D30" s="3"/>
      <c r="E30" s="3"/>
      <c r="F30" s="3"/>
    </row>
    <row r="31" spans="2:9">
      <c r="D31" s="3"/>
      <c r="E31" s="3"/>
      <c r="F31" s="3"/>
    </row>
    <row r="32" spans="2:9">
      <c r="D32" s="3"/>
      <c r="E32" s="3"/>
      <c r="F32" s="3"/>
    </row>
    <row r="33" spans="4:6">
      <c r="D33" s="3"/>
      <c r="E33" s="3"/>
      <c r="F33" s="3"/>
    </row>
    <row r="34" spans="4:6">
      <c r="D34" s="3"/>
      <c r="E34" s="3"/>
      <c r="F34" s="3"/>
    </row>
  </sheetData>
  <sortState ref="E4:F24">
    <sortCondition ref="F6"/>
  </sortState>
  <conditionalFormatting sqref="F4:F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4"/>
  <sheetViews>
    <sheetView zoomScaleNormal="100" workbookViewId="0"/>
  </sheetViews>
  <sheetFormatPr defaultRowHeight="12"/>
  <cols>
    <col min="1" max="1" width="2" style="2" customWidth="1"/>
    <col min="2" max="2" width="36.42578125" style="2" customWidth="1"/>
    <col min="3" max="3" width="10" style="2" bestFit="1" customWidth="1"/>
    <col min="4" max="4" width="2.85546875" style="2" customWidth="1"/>
    <col min="5" max="5" width="18.5703125" style="2" customWidth="1"/>
    <col min="6" max="6" width="10" style="13" customWidth="1"/>
    <col min="7" max="8" width="11.42578125" style="2" customWidth="1"/>
    <col min="9" max="9" width="9.85546875" style="2" customWidth="1"/>
    <col min="10" max="10" width="12.28515625" style="2" customWidth="1"/>
    <col min="11" max="11" width="10" style="2" customWidth="1"/>
    <col min="12" max="12" width="7.85546875" style="2" customWidth="1"/>
    <col min="13" max="13" width="16" style="2" customWidth="1"/>
    <col min="14" max="16384" width="9.140625" style="2"/>
  </cols>
  <sheetData>
    <row r="1" spans="2:13" ht="15.75">
      <c r="B1" s="16" t="s">
        <v>6</v>
      </c>
    </row>
    <row r="3" spans="2:13">
      <c r="B3" s="18" t="s">
        <v>45</v>
      </c>
      <c r="C3" s="89">
        <f>G13</f>
        <v>189.17</v>
      </c>
      <c r="D3" s="21"/>
      <c r="E3" s="46"/>
      <c r="F3" s="69" t="s">
        <v>44</v>
      </c>
      <c r="G3" s="70" t="s">
        <v>46</v>
      </c>
      <c r="H3" s="72" t="s">
        <v>47</v>
      </c>
      <c r="I3" s="72" t="s">
        <v>50</v>
      </c>
      <c r="J3" s="72" t="s">
        <v>77</v>
      </c>
      <c r="K3" s="3"/>
      <c r="L3" s="86" t="s">
        <v>44</v>
      </c>
      <c r="M3" s="72" t="s">
        <v>73</v>
      </c>
    </row>
    <row r="4" spans="2:13">
      <c r="B4" s="29" t="s">
        <v>51</v>
      </c>
      <c r="C4" s="94">
        <f>J14/I14</f>
        <v>138.95218181818183</v>
      </c>
      <c r="D4" s="6"/>
      <c r="F4" s="68" t="s">
        <v>55</v>
      </c>
      <c r="G4" s="71">
        <v>77.72</v>
      </c>
      <c r="H4" s="73">
        <v>1.47E-2</v>
      </c>
      <c r="I4" s="48">
        <v>1</v>
      </c>
      <c r="J4" s="77">
        <f t="shared" ref="J4:J13" si="0">G4*I4</f>
        <v>77.72</v>
      </c>
      <c r="K4" s="3"/>
      <c r="L4" s="84" t="s">
        <v>65</v>
      </c>
      <c r="M4" s="85">
        <f>C11</f>
        <v>0.172634108417556</v>
      </c>
    </row>
    <row r="5" spans="2:13">
      <c r="D5" s="6"/>
      <c r="F5" s="68" t="s">
        <v>56</v>
      </c>
      <c r="G5" s="71">
        <v>97.24</v>
      </c>
      <c r="H5" s="73">
        <v>1.37E-2</v>
      </c>
      <c r="I5" s="48">
        <v>2</v>
      </c>
      <c r="J5" s="77">
        <f t="shared" si="0"/>
        <v>194.48</v>
      </c>
      <c r="K5" s="3"/>
      <c r="L5" s="84" t="s">
        <v>66</v>
      </c>
      <c r="M5" s="85">
        <f>(M4+M6)/2</f>
        <v>0.146583081313167</v>
      </c>
    </row>
    <row r="6" spans="2:13">
      <c r="B6" s="29" t="s">
        <v>49</v>
      </c>
      <c r="C6" s="90">
        <f>H13</f>
        <v>1.11E-2</v>
      </c>
      <c r="D6" s="23"/>
      <c r="F6" s="68" t="s">
        <v>57</v>
      </c>
      <c r="G6" s="71">
        <v>122.26</v>
      </c>
      <c r="H6" s="73">
        <v>1.2800000000000001E-2</v>
      </c>
      <c r="I6" s="48">
        <v>3</v>
      </c>
      <c r="J6" s="77">
        <f t="shared" si="0"/>
        <v>366.78000000000003</v>
      </c>
      <c r="K6" s="3"/>
      <c r="L6" s="84" t="s">
        <v>67</v>
      </c>
      <c r="M6" s="85">
        <f>(M4+M8)/2</f>
        <v>0.12053205420877799</v>
      </c>
    </row>
    <row r="7" spans="2:13">
      <c r="B7" s="29" t="s">
        <v>48</v>
      </c>
      <c r="C7" s="91">
        <f>AVERAGE(H4:H13)</f>
        <v>1.315E-2</v>
      </c>
      <c r="D7" s="6"/>
      <c r="F7" s="68" t="s">
        <v>58</v>
      </c>
      <c r="G7" s="71">
        <v>121.01</v>
      </c>
      <c r="H7" s="73">
        <v>1.49E-2</v>
      </c>
      <c r="I7" s="48">
        <v>4</v>
      </c>
      <c r="J7" s="77">
        <f t="shared" si="0"/>
        <v>484.04</v>
      </c>
      <c r="K7" s="3"/>
      <c r="L7" s="84" t="s">
        <v>68</v>
      </c>
      <c r="M7" s="85">
        <f>(M6+M8)/2</f>
        <v>9.4481027104388993E-2</v>
      </c>
    </row>
    <row r="8" spans="2:13">
      <c r="C8" s="45"/>
      <c r="D8" s="6"/>
      <c r="F8" s="68" t="s">
        <v>59</v>
      </c>
      <c r="G8" s="71">
        <v>112.54</v>
      </c>
      <c r="H8" s="73">
        <v>1.23E-2</v>
      </c>
      <c r="I8" s="48">
        <v>5</v>
      </c>
      <c r="J8" s="77">
        <f t="shared" si="0"/>
        <v>562.70000000000005</v>
      </c>
      <c r="K8" s="3"/>
      <c r="L8" s="84" t="s">
        <v>69</v>
      </c>
      <c r="M8" s="85">
        <v>6.8430000000000005E-2</v>
      </c>
    </row>
    <row r="9" spans="2:13">
      <c r="B9" s="18" t="s">
        <v>70</v>
      </c>
      <c r="C9" s="92">
        <v>282.98</v>
      </c>
      <c r="D9" s="6"/>
      <c r="F9" s="68" t="s">
        <v>60</v>
      </c>
      <c r="G9" s="71">
        <v>137.75</v>
      </c>
      <c r="H9" s="73">
        <v>1.2500000000000001E-2</v>
      </c>
      <c r="I9" s="48">
        <v>6</v>
      </c>
      <c r="J9" s="77">
        <f t="shared" si="0"/>
        <v>826.5</v>
      </c>
      <c r="K9" s="3"/>
      <c r="L9" s="66"/>
      <c r="M9" s="87">
        <f>AVERAGE(M4:M8)</f>
        <v>0.12053205420877799</v>
      </c>
    </row>
    <row r="10" spans="2:13">
      <c r="B10" s="18" t="s">
        <v>71</v>
      </c>
      <c r="C10" s="92">
        <v>771.5</v>
      </c>
      <c r="D10" s="6"/>
      <c r="F10" s="68" t="s">
        <v>61</v>
      </c>
      <c r="G10" s="71">
        <v>142.54</v>
      </c>
      <c r="H10" s="73">
        <v>1.1299999999999999E-2</v>
      </c>
      <c r="I10" s="48">
        <v>7</v>
      </c>
      <c r="J10" s="77">
        <f t="shared" si="0"/>
        <v>997.78</v>
      </c>
      <c r="K10" s="3"/>
      <c r="L10" s="64"/>
    </row>
    <row r="11" spans="2:13">
      <c r="B11" s="18" t="s">
        <v>72</v>
      </c>
      <c r="C11" s="93">
        <f>((C10-C9)/C9)/10</f>
        <v>0.172634108417556</v>
      </c>
      <c r="D11" s="6"/>
      <c r="F11" s="68" t="s">
        <v>62</v>
      </c>
      <c r="G11" s="71">
        <v>149.1</v>
      </c>
      <c r="H11" s="73">
        <v>1.83E-2</v>
      </c>
      <c r="I11" s="48">
        <v>8</v>
      </c>
      <c r="J11" s="77">
        <f t="shared" si="0"/>
        <v>1192.8</v>
      </c>
      <c r="K11" s="3"/>
      <c r="L11" s="79" t="s">
        <v>52</v>
      </c>
      <c r="M11" s="88" t="s">
        <v>75</v>
      </c>
    </row>
    <row r="12" spans="2:13">
      <c r="B12" s="3"/>
      <c r="C12" s="3"/>
      <c r="D12" s="6"/>
      <c r="F12" s="68" t="s">
        <v>63</v>
      </c>
      <c r="G12" s="71">
        <v>116.43</v>
      </c>
      <c r="H12" s="73">
        <v>9.9000000000000008E-3</v>
      </c>
      <c r="I12" s="48">
        <v>9</v>
      </c>
      <c r="J12" s="77">
        <f t="shared" si="0"/>
        <v>1047.8700000000001</v>
      </c>
      <c r="K12" s="3"/>
      <c r="L12" s="62"/>
      <c r="M12" s="88" t="s">
        <v>76</v>
      </c>
    </row>
    <row r="13" spans="2:13">
      <c r="B13" s="18" t="s">
        <v>74</v>
      </c>
      <c r="C13" s="53">
        <f>M9</f>
        <v>0.12053205420877799</v>
      </c>
      <c r="D13" s="6"/>
      <c r="F13" s="68" t="s">
        <v>64</v>
      </c>
      <c r="G13" s="71">
        <v>189.17</v>
      </c>
      <c r="H13" s="73">
        <v>1.11E-2</v>
      </c>
      <c r="I13" s="48">
        <v>10</v>
      </c>
      <c r="J13" s="77">
        <f t="shared" si="0"/>
        <v>1891.6999999999998</v>
      </c>
    </row>
    <row r="14" spans="2:13">
      <c r="B14" s="22"/>
      <c r="C14" s="22"/>
      <c r="D14" s="23"/>
      <c r="F14" s="66"/>
      <c r="G14" s="7"/>
      <c r="I14" s="76">
        <f>SUM(I4:I13)</f>
        <v>55</v>
      </c>
      <c r="J14" s="78">
        <f>SUM(J4:J13)</f>
        <v>7642.37</v>
      </c>
    </row>
    <row r="15" spans="2:13">
      <c r="B15" s="18" t="s">
        <v>113</v>
      </c>
      <c r="C15" s="97">
        <v>16719.45</v>
      </c>
      <c r="D15" s="6"/>
      <c r="E15" s="46"/>
      <c r="F15" s="62"/>
      <c r="G15" s="3"/>
      <c r="H15" s="3"/>
    </row>
    <row r="16" spans="2:13">
      <c r="B16" s="3"/>
      <c r="C16" s="3"/>
      <c r="D16" s="6"/>
      <c r="E16" s="46"/>
      <c r="F16" s="79" t="s">
        <v>52</v>
      </c>
      <c r="G16" s="80" t="s">
        <v>54</v>
      </c>
      <c r="H16" s="44"/>
    </row>
    <row r="17" spans="2:12">
      <c r="B17" s="18" t="s">
        <v>83</v>
      </c>
      <c r="C17" s="91">
        <v>1.8200000000000001E-2</v>
      </c>
      <c r="D17" s="6"/>
      <c r="E17" s="46"/>
      <c r="F17" s="62"/>
      <c r="G17" s="80" t="s">
        <v>53</v>
      </c>
    </row>
    <row r="18" spans="2:12">
      <c r="B18" s="3"/>
      <c r="C18" s="3"/>
      <c r="D18" s="23"/>
      <c r="E18" s="46"/>
      <c r="F18" s="62"/>
      <c r="G18" s="3"/>
      <c r="H18" s="3"/>
    </row>
    <row r="19" spans="2:12">
      <c r="B19" s="22"/>
      <c r="C19" s="22"/>
      <c r="D19" s="6"/>
      <c r="E19" s="46"/>
      <c r="F19" s="62"/>
      <c r="G19" s="3"/>
      <c r="H19" s="3"/>
    </row>
    <row r="20" spans="2:12">
      <c r="B20" s="3"/>
      <c r="C20" s="3"/>
      <c r="D20" s="6"/>
      <c r="E20" s="98" t="s">
        <v>78</v>
      </c>
      <c r="F20" s="86" t="s">
        <v>64</v>
      </c>
      <c r="G20" s="86" t="s">
        <v>65</v>
      </c>
      <c r="H20" s="86" t="s">
        <v>66</v>
      </c>
      <c r="I20" s="86" t="s">
        <v>67</v>
      </c>
      <c r="J20" s="86" t="s">
        <v>68</v>
      </c>
      <c r="K20" s="86" t="s">
        <v>69</v>
      </c>
    </row>
    <row r="21" spans="2:12">
      <c r="B21" s="3"/>
      <c r="C21" s="3"/>
      <c r="D21" s="6"/>
      <c r="E21" s="104">
        <f>-C15</f>
        <v>-16719.45</v>
      </c>
      <c r="F21" s="95">
        <f>$C$4</f>
        <v>138.95218181818183</v>
      </c>
      <c r="G21" s="96">
        <f>F21*(1+$C$13)</f>
        <v>155.7003737295189</v>
      </c>
      <c r="H21" s="96">
        <f>G21*(1+$C$13)</f>
        <v>174.46725961621226</v>
      </c>
      <c r="I21" s="96">
        <f>H21*(1+$C$13)</f>
        <v>195.49615680993051</v>
      </c>
      <c r="J21" s="96">
        <f>I21*(1+$C$13)</f>
        <v>219.05971018015282</v>
      </c>
      <c r="K21" s="96">
        <f>J21*(1+$C$13)</f>
        <v>245.46342704254619</v>
      </c>
    </row>
    <row r="22" spans="2:12">
      <c r="B22" s="3"/>
      <c r="C22" s="3"/>
      <c r="D22" s="6"/>
      <c r="E22" s="48"/>
      <c r="F22" s="105"/>
      <c r="G22" s="105"/>
      <c r="H22" s="105"/>
      <c r="I22" s="106"/>
      <c r="J22" s="107"/>
      <c r="K22" s="105"/>
    </row>
    <row r="23" spans="2:12">
      <c r="B23" s="22"/>
      <c r="C23" s="22"/>
      <c r="D23" s="23"/>
      <c r="E23" s="48" t="s">
        <v>79</v>
      </c>
      <c r="F23" s="29">
        <f>NPV(10%,$G$21:$K$21)+($K$21*(1+$M$8))/(10%-$M$8)*((1+10%)^5)+$E$21</f>
        <v>-2605.862870675448</v>
      </c>
      <c r="G23" s="29"/>
      <c r="H23" s="29"/>
      <c r="I23" s="29"/>
      <c r="J23" s="29"/>
      <c r="K23" s="29"/>
      <c r="L23" s="101"/>
    </row>
    <row r="24" spans="2:12">
      <c r="B24" s="3"/>
      <c r="C24" s="3"/>
      <c r="D24" s="6"/>
      <c r="E24" s="48" t="s">
        <v>80</v>
      </c>
      <c r="F24" s="29">
        <f>NPV(9%,$G$21:$K$21)+($K$21*(1+$M$8))/(9%-$M$8)*((1+9%)^5)+$E$21</f>
        <v>2743.3973412469713</v>
      </c>
      <c r="G24" s="29"/>
      <c r="H24" s="29"/>
      <c r="I24" s="29"/>
      <c r="J24" s="29"/>
      <c r="K24" s="29"/>
    </row>
    <row r="25" spans="2:12">
      <c r="B25" s="3"/>
      <c r="C25" s="3"/>
      <c r="D25" s="6"/>
      <c r="E25" s="17"/>
      <c r="F25" s="105"/>
      <c r="G25" s="29"/>
      <c r="H25" s="113"/>
      <c r="I25" s="114"/>
      <c r="J25" s="29"/>
      <c r="K25" s="29"/>
    </row>
    <row r="26" spans="2:12">
      <c r="B26" s="3"/>
      <c r="C26" s="3"/>
      <c r="D26" s="6"/>
      <c r="E26" s="41" t="s">
        <v>81</v>
      </c>
      <c r="F26" s="108">
        <f>9%+($F$24/($F$24-$F$23)*(10%-9%))</f>
        <v>9.5128554664685214E-2</v>
      </c>
      <c r="G26" s="29"/>
      <c r="H26" s="115"/>
      <c r="I26" s="114"/>
      <c r="J26" s="29"/>
      <c r="K26" s="29"/>
      <c r="L26" s="102"/>
    </row>
    <row r="27" spans="2:12">
      <c r="B27" s="3"/>
      <c r="C27" s="3"/>
      <c r="D27" s="7" t="s">
        <v>82</v>
      </c>
      <c r="E27" s="109" t="s">
        <v>5</v>
      </c>
      <c r="F27" s="110">
        <f>'Risk Free Rate'!C3</f>
        <v>5.5759999999999997E-2</v>
      </c>
      <c r="G27" s="29"/>
      <c r="H27" s="29"/>
      <c r="I27" s="29"/>
      <c r="J27" s="29"/>
      <c r="K27" s="29"/>
    </row>
    <row r="28" spans="2:12">
      <c r="B28" s="3"/>
      <c r="C28" s="3"/>
      <c r="E28" s="111" t="s">
        <v>6</v>
      </c>
      <c r="F28" s="112">
        <f>F26-F27</f>
        <v>3.9368554664685217E-2</v>
      </c>
      <c r="G28" s="29"/>
      <c r="H28" s="29"/>
      <c r="I28" s="29"/>
      <c r="J28" s="29"/>
      <c r="K28" s="29"/>
    </row>
    <row r="29" spans="2:12">
      <c r="B29" s="3"/>
      <c r="C29" s="3"/>
      <c r="D29" s="3"/>
    </row>
    <row r="30" spans="2:12">
      <c r="B30" s="3"/>
      <c r="C30" s="3"/>
      <c r="D30" s="3"/>
      <c r="E30" s="3"/>
      <c r="F30" s="63"/>
    </row>
    <row r="31" spans="2:12">
      <c r="D31" s="3"/>
      <c r="E31" s="3"/>
      <c r="F31" s="63"/>
    </row>
    <row r="32" spans="2:12">
      <c r="D32" s="3"/>
      <c r="E32" s="3"/>
      <c r="F32" s="63"/>
    </row>
    <row r="33" spans="4:6">
      <c r="D33" s="3"/>
      <c r="E33" s="3"/>
      <c r="F33" s="63"/>
    </row>
    <row r="34" spans="4:6">
      <c r="D34" s="3"/>
      <c r="E34" s="3"/>
      <c r="F34" s="63"/>
    </row>
  </sheetData>
  <hyperlinks>
    <hyperlink ref="G16" r:id="rId1"/>
    <hyperlink ref="G17" r:id="rId2"/>
    <hyperlink ref="M11" r:id="rId3"/>
    <hyperlink ref="M12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33"/>
  <sheetViews>
    <sheetView zoomScaleNormal="100" workbookViewId="0"/>
  </sheetViews>
  <sheetFormatPr defaultRowHeight="12"/>
  <cols>
    <col min="1" max="1" width="2" style="2" customWidth="1"/>
    <col min="2" max="2" width="27" style="2" customWidth="1"/>
    <col min="3" max="3" width="16.140625" style="2" customWidth="1"/>
    <col min="4" max="4" width="9.140625" style="2" customWidth="1"/>
    <col min="5" max="5" width="3.28515625" style="2" customWidth="1"/>
    <col min="6" max="6" width="3" style="13" customWidth="1"/>
    <col min="7" max="7" width="25.7109375" style="2" customWidth="1"/>
    <col min="8" max="8" width="14.42578125" style="2" customWidth="1"/>
    <col min="9" max="9" width="15.5703125" style="13" bestFit="1" customWidth="1"/>
    <col min="10" max="10" width="10.85546875" style="2" customWidth="1"/>
    <col min="11" max="14" width="9.42578125" style="2" customWidth="1"/>
    <col min="15" max="15" width="7.85546875" style="2" customWidth="1"/>
    <col min="16" max="16" width="6.28515625" style="2" customWidth="1"/>
    <col min="17" max="16384" width="9.140625" style="2"/>
  </cols>
  <sheetData>
    <row r="1" spans="2:17" ht="15.75">
      <c r="B1" s="16" t="s">
        <v>91</v>
      </c>
      <c r="E1" s="3"/>
      <c r="F1" s="63"/>
      <c r="G1" s="3"/>
      <c r="H1" s="3"/>
      <c r="I1" s="63"/>
      <c r="J1" s="3"/>
      <c r="K1" s="3"/>
      <c r="L1" s="3"/>
      <c r="M1" s="3"/>
      <c r="N1" s="3"/>
      <c r="O1" s="3"/>
      <c r="P1" s="3"/>
      <c r="Q1" s="3"/>
    </row>
    <row r="2" spans="2:17">
      <c r="E2" s="3"/>
      <c r="F2" s="63"/>
      <c r="G2" s="297" t="s">
        <v>140</v>
      </c>
      <c r="H2" s="297"/>
      <c r="I2" s="297"/>
      <c r="J2" s="297"/>
      <c r="K2" s="297" t="s">
        <v>86</v>
      </c>
      <c r="L2" s="297"/>
      <c r="M2" s="166"/>
      <c r="N2" s="166"/>
      <c r="O2" s="3"/>
      <c r="P2" s="3"/>
      <c r="Q2" s="3"/>
    </row>
    <row r="3" spans="2:17">
      <c r="B3" s="18" t="s">
        <v>137</v>
      </c>
      <c r="C3" s="92" t="str">
        <f>About!C3</f>
        <v>Financial Services</v>
      </c>
      <c r="D3" s="21"/>
      <c r="F3" s="120"/>
      <c r="G3" s="48" t="s">
        <v>141</v>
      </c>
      <c r="H3" s="48" t="s">
        <v>84</v>
      </c>
      <c r="I3" s="129" t="s">
        <v>114</v>
      </c>
      <c r="J3" s="130" t="s">
        <v>85</v>
      </c>
      <c r="K3" s="130" t="s">
        <v>87</v>
      </c>
      <c r="L3" s="77" t="s">
        <v>88</v>
      </c>
      <c r="M3" s="65"/>
      <c r="N3" s="65"/>
      <c r="O3" s="121"/>
      <c r="P3" s="103"/>
      <c r="Q3" s="3"/>
    </row>
    <row r="4" spans="2:17">
      <c r="B4" s="29" t="s">
        <v>138</v>
      </c>
      <c r="C4" s="210" t="str">
        <f>About!C4</f>
        <v>NBFC</v>
      </c>
      <c r="D4" s="6"/>
      <c r="E4" s="3"/>
      <c r="F4" s="67"/>
      <c r="G4" s="71" t="s">
        <v>142</v>
      </c>
      <c r="H4" s="71" t="s">
        <v>157</v>
      </c>
      <c r="I4" s="132">
        <v>1.8378000000000001</v>
      </c>
      <c r="J4" s="133">
        <v>0.22</v>
      </c>
      <c r="K4" s="133">
        <f t="shared" ref="K4:K8" si="0">I4-(2*J4)</f>
        <v>1.3978000000000002</v>
      </c>
      <c r="L4" s="133">
        <f t="shared" ref="L4:L8" si="1">I4+(2*J4)</f>
        <v>2.2778</v>
      </c>
      <c r="M4" s="165"/>
      <c r="N4" s="127"/>
      <c r="P4" s="83"/>
      <c r="Q4" s="3"/>
    </row>
    <row r="5" spans="2:17">
      <c r="D5" s="6"/>
      <c r="E5" s="3"/>
      <c r="F5" s="67"/>
      <c r="G5" s="71" t="s">
        <v>143</v>
      </c>
      <c r="H5" s="211" t="s">
        <v>158</v>
      </c>
      <c r="I5" s="132">
        <v>1.8391999999999999</v>
      </c>
      <c r="J5" s="133">
        <v>0.22700000000000001</v>
      </c>
      <c r="K5" s="133">
        <f t="shared" si="0"/>
        <v>1.3852</v>
      </c>
      <c r="L5" s="133">
        <f t="shared" si="1"/>
        <v>2.2932000000000001</v>
      </c>
      <c r="M5" s="165"/>
      <c r="N5" s="165"/>
      <c r="O5" s="128"/>
      <c r="P5" s="83"/>
      <c r="Q5" s="3"/>
    </row>
    <row r="6" spans="2:17">
      <c r="B6" s="109" t="s">
        <v>115</v>
      </c>
      <c r="C6" s="136">
        <f>I19</f>
        <v>1.3632133333333334</v>
      </c>
      <c r="D6" s="212"/>
      <c r="E6" s="3"/>
      <c r="F6" s="67"/>
      <c r="G6" s="71" t="s">
        <v>144</v>
      </c>
      <c r="H6" s="211" t="s">
        <v>159</v>
      </c>
      <c r="I6" s="132">
        <v>0.8</v>
      </c>
      <c r="J6" s="133">
        <v>0.107</v>
      </c>
      <c r="K6" s="133">
        <f t="shared" si="0"/>
        <v>0.58600000000000008</v>
      </c>
      <c r="L6" s="133">
        <f t="shared" si="1"/>
        <v>1.014</v>
      </c>
      <c r="M6" s="165"/>
      <c r="N6" s="169"/>
      <c r="O6" s="127"/>
      <c r="P6" s="83"/>
      <c r="Q6" s="3"/>
    </row>
    <row r="7" spans="2:17">
      <c r="B7" s="3"/>
      <c r="C7" s="214"/>
      <c r="D7" s="212"/>
      <c r="E7" s="3"/>
      <c r="F7" s="67"/>
      <c r="G7" s="71" t="s">
        <v>145</v>
      </c>
      <c r="H7" s="211" t="s">
        <v>160</v>
      </c>
      <c r="I7" s="132">
        <v>1.6215999999999999</v>
      </c>
      <c r="J7" s="133">
        <v>0.24099999999999999</v>
      </c>
      <c r="K7" s="133">
        <f>I7-(2*J7)</f>
        <v>1.1395999999999999</v>
      </c>
      <c r="L7" s="133">
        <f t="shared" si="1"/>
        <v>2.1036000000000001</v>
      </c>
      <c r="M7" s="165"/>
      <c r="N7" s="165"/>
      <c r="O7" s="66"/>
      <c r="P7" s="83"/>
      <c r="Q7" s="3"/>
    </row>
    <row r="8" spans="2:17">
      <c r="B8" s="131" t="s">
        <v>52</v>
      </c>
      <c r="D8" s="212"/>
      <c r="E8" s="3"/>
      <c r="F8" s="67"/>
      <c r="G8" s="71" t="s">
        <v>146</v>
      </c>
      <c r="H8" s="211" t="s">
        <v>161</v>
      </c>
      <c r="I8" s="132">
        <v>1.3678999999999999</v>
      </c>
      <c r="J8" s="133">
        <v>0.16700000000000001</v>
      </c>
      <c r="K8" s="133">
        <f t="shared" si="0"/>
        <v>1.0338999999999998</v>
      </c>
      <c r="L8" s="133">
        <f t="shared" si="1"/>
        <v>1.7019</v>
      </c>
      <c r="M8" s="165"/>
      <c r="N8" s="165"/>
      <c r="P8" s="83"/>
      <c r="Q8" s="3"/>
    </row>
    <row r="9" spans="2:17">
      <c r="B9" s="131" t="s">
        <v>89</v>
      </c>
      <c r="D9" s="6"/>
      <c r="E9" s="3"/>
      <c r="F9" s="67"/>
      <c r="G9" s="71" t="s">
        <v>147</v>
      </c>
      <c r="H9" s="211" t="s">
        <v>162</v>
      </c>
      <c r="I9" s="132">
        <v>0.4909</v>
      </c>
      <c r="J9" s="133">
        <v>0.13</v>
      </c>
      <c r="K9" s="133">
        <f>I9-(2*J9)</f>
        <v>0.23089999999999999</v>
      </c>
      <c r="L9" s="133">
        <f>I9+(2*J9)</f>
        <v>0.75090000000000001</v>
      </c>
      <c r="M9" s="165"/>
      <c r="N9" s="165"/>
      <c r="O9" s="66"/>
      <c r="P9" s="83"/>
      <c r="Q9" s="3"/>
    </row>
    <row r="10" spans="2:17">
      <c r="B10" s="134" t="s">
        <v>90</v>
      </c>
      <c r="D10" s="6"/>
      <c r="E10" s="3"/>
      <c r="F10" s="67"/>
      <c r="G10" s="71" t="s">
        <v>148</v>
      </c>
      <c r="H10" s="71" t="s">
        <v>163</v>
      </c>
      <c r="I10" s="132">
        <v>1.4155</v>
      </c>
      <c r="J10" s="132">
        <v>0.27100000000000002</v>
      </c>
      <c r="K10" s="133">
        <f t="shared" ref="K10:K16" si="2">I10-(2*J10)</f>
        <v>0.87349999999999994</v>
      </c>
      <c r="L10" s="133">
        <f t="shared" ref="L10:L16" si="3">I10+(2*J10)</f>
        <v>1.9575</v>
      </c>
      <c r="M10" s="3"/>
      <c r="N10" s="165"/>
      <c r="O10" s="127"/>
      <c r="P10" s="3"/>
      <c r="Q10" s="3"/>
    </row>
    <row r="11" spans="2:17">
      <c r="B11" s="80" t="s">
        <v>92</v>
      </c>
      <c r="D11" s="6"/>
      <c r="E11" s="3"/>
      <c r="F11" s="67"/>
      <c r="G11" s="71" t="s">
        <v>149</v>
      </c>
      <c r="H11" s="211" t="s">
        <v>164</v>
      </c>
      <c r="I11" s="132">
        <v>1.0972999999999999</v>
      </c>
      <c r="J11" s="132">
        <v>0.19800000000000001</v>
      </c>
      <c r="K11" s="133">
        <f t="shared" si="2"/>
        <v>0.70129999999999992</v>
      </c>
      <c r="L11" s="133">
        <f t="shared" si="3"/>
        <v>1.4933000000000001</v>
      </c>
      <c r="M11" s="165"/>
      <c r="N11" s="165"/>
      <c r="O11" s="79"/>
      <c r="P11" s="88"/>
      <c r="Q11" s="3"/>
    </row>
    <row r="12" spans="2:17">
      <c r="C12" s="214"/>
      <c r="D12" s="6"/>
      <c r="E12" s="3"/>
      <c r="F12" s="67"/>
      <c r="G12" s="96" t="s">
        <v>150</v>
      </c>
      <c r="H12" s="96" t="s">
        <v>165</v>
      </c>
      <c r="I12" s="132">
        <v>2.1238000000000001</v>
      </c>
      <c r="J12" s="132">
        <v>0.23599999999999999</v>
      </c>
      <c r="K12" s="133">
        <f t="shared" si="2"/>
        <v>1.6518000000000002</v>
      </c>
      <c r="L12" s="133">
        <f t="shared" si="3"/>
        <v>2.5958000000000001</v>
      </c>
      <c r="M12" s="3"/>
      <c r="O12" s="62"/>
      <c r="P12" s="88"/>
      <c r="Q12" s="3"/>
    </row>
    <row r="13" spans="2:17">
      <c r="C13" s="3"/>
      <c r="D13" s="6"/>
      <c r="E13" s="3"/>
      <c r="F13" s="67"/>
      <c r="G13" s="71" t="s">
        <v>151</v>
      </c>
      <c r="H13" s="71" t="s">
        <v>166</v>
      </c>
      <c r="I13" s="132">
        <v>0.87080000000000002</v>
      </c>
      <c r="J13" s="132">
        <v>0.23799999999999999</v>
      </c>
      <c r="K13" s="133">
        <f t="shared" si="2"/>
        <v>0.39480000000000004</v>
      </c>
      <c r="L13" s="133">
        <f t="shared" si="3"/>
        <v>1.3468</v>
      </c>
      <c r="M13" s="3"/>
      <c r="N13" s="3"/>
      <c r="O13" s="3"/>
      <c r="P13" s="3"/>
      <c r="Q13" s="3"/>
    </row>
    <row r="14" spans="2:17">
      <c r="B14" s="44"/>
      <c r="D14" s="23"/>
      <c r="E14" s="46"/>
      <c r="F14" s="62"/>
      <c r="G14" s="96" t="s">
        <v>152</v>
      </c>
      <c r="H14" s="96" t="s">
        <v>167</v>
      </c>
      <c r="I14" s="132">
        <v>0.89700000000000002</v>
      </c>
      <c r="J14" s="132">
        <v>0.25700000000000001</v>
      </c>
      <c r="K14" s="133">
        <f t="shared" si="2"/>
        <v>0.38300000000000001</v>
      </c>
      <c r="L14" s="133">
        <f t="shared" si="3"/>
        <v>1.411</v>
      </c>
      <c r="M14" s="3"/>
      <c r="Q14" s="3"/>
    </row>
    <row r="15" spans="2:17">
      <c r="C15" s="134"/>
      <c r="D15" s="6"/>
      <c r="E15" s="46"/>
      <c r="F15" s="79"/>
      <c r="G15" s="217" t="s">
        <v>153</v>
      </c>
      <c r="H15" s="217" t="s">
        <v>168</v>
      </c>
      <c r="I15" s="132">
        <v>2.6381999999999999</v>
      </c>
      <c r="J15" s="132">
        <v>0.626</v>
      </c>
      <c r="K15" s="133">
        <f t="shared" si="2"/>
        <v>1.3861999999999999</v>
      </c>
      <c r="L15" s="133">
        <f t="shared" si="3"/>
        <v>3.8902000000000001</v>
      </c>
      <c r="M15" s="215"/>
      <c r="N15" s="215"/>
      <c r="O15" s="3"/>
      <c r="P15" s="3"/>
      <c r="Q15" s="3"/>
    </row>
    <row r="16" spans="2:17">
      <c r="C16" s="134"/>
      <c r="D16" s="6"/>
      <c r="E16" s="46"/>
      <c r="F16" s="62"/>
      <c r="G16" s="55" t="s">
        <v>154</v>
      </c>
      <c r="H16" s="55" t="s">
        <v>169</v>
      </c>
      <c r="I16" s="132">
        <v>2.0638999999999998</v>
      </c>
      <c r="J16" s="132">
        <v>0.214</v>
      </c>
      <c r="K16" s="133">
        <f t="shared" si="2"/>
        <v>1.6358999999999999</v>
      </c>
      <c r="L16" s="133">
        <f t="shared" si="3"/>
        <v>2.4918999999999998</v>
      </c>
      <c r="M16" s="3"/>
      <c r="N16" s="124"/>
      <c r="O16" s="121"/>
      <c r="P16" s="103"/>
      <c r="Q16" s="3"/>
    </row>
    <row r="17" spans="2:17">
      <c r="C17" s="44"/>
      <c r="D17" s="6"/>
      <c r="E17" s="46"/>
      <c r="F17" s="62"/>
      <c r="G17" s="96" t="s">
        <v>155</v>
      </c>
      <c r="H17" s="96" t="s">
        <v>170</v>
      </c>
      <c r="I17" s="132">
        <v>0.50860000000000005</v>
      </c>
      <c r="J17" s="132">
        <v>0.193</v>
      </c>
      <c r="K17" s="133">
        <f t="shared" ref="K17:K18" si="4">I17-(2*J17)</f>
        <v>0.12260000000000004</v>
      </c>
      <c r="L17" s="133">
        <f t="shared" ref="L17:L18" si="5">I17+(2*J17)</f>
        <v>0.89460000000000006</v>
      </c>
      <c r="M17" s="169"/>
      <c r="N17" s="3"/>
      <c r="O17" s="127"/>
      <c r="P17" s="83"/>
      <c r="Q17" s="3"/>
    </row>
    <row r="18" spans="2:17">
      <c r="C18" s="80"/>
      <c r="D18" s="6"/>
      <c r="E18" s="46"/>
      <c r="F18" s="62"/>
      <c r="G18" s="71" t="s">
        <v>156</v>
      </c>
      <c r="H18" s="96" t="s">
        <v>171</v>
      </c>
      <c r="I18" s="132">
        <v>0.87570000000000003</v>
      </c>
      <c r="J18" s="132">
        <v>0.23899999999999999</v>
      </c>
      <c r="K18" s="133">
        <f t="shared" si="4"/>
        <v>0.39770000000000005</v>
      </c>
      <c r="L18" s="133">
        <f t="shared" si="5"/>
        <v>1.3536999999999999</v>
      </c>
      <c r="N18" s="3"/>
      <c r="O18" s="127"/>
      <c r="P18" s="83"/>
      <c r="Q18" s="3"/>
    </row>
    <row r="19" spans="2:17">
      <c r="C19" s="3"/>
      <c r="D19" s="23"/>
      <c r="E19" s="119"/>
      <c r="F19" s="121"/>
      <c r="G19" s="117"/>
      <c r="I19" s="213">
        <f>AVERAGE(I4:I18)</f>
        <v>1.3632133333333334</v>
      </c>
      <c r="N19" s="165"/>
      <c r="O19" s="127"/>
      <c r="P19" s="83"/>
      <c r="Q19" s="3"/>
    </row>
    <row r="20" spans="2:17">
      <c r="C20" s="3"/>
      <c r="D20" s="6"/>
      <c r="E20" s="99"/>
      <c r="F20" s="122"/>
      <c r="G20" s="190"/>
      <c r="M20" s="3"/>
      <c r="N20" s="168"/>
      <c r="O20" s="127"/>
      <c r="P20" s="83"/>
      <c r="Q20" s="3"/>
    </row>
    <row r="21" spans="2:17">
      <c r="C21" s="3"/>
      <c r="D21" s="6"/>
      <c r="E21" s="46"/>
      <c r="F21" s="63"/>
      <c r="G21" s="117"/>
      <c r="N21" s="168"/>
      <c r="O21" s="66"/>
      <c r="P21" s="83"/>
      <c r="Q21" s="3"/>
    </row>
    <row r="22" spans="2:17">
      <c r="D22" s="6"/>
      <c r="E22" s="46"/>
      <c r="F22" s="3"/>
      <c r="G22" s="190"/>
      <c r="N22" s="102"/>
      <c r="O22" s="66"/>
      <c r="P22" s="83"/>
      <c r="Q22" s="3"/>
    </row>
    <row r="23" spans="2:17">
      <c r="D23" s="23"/>
      <c r="E23" s="46"/>
      <c r="F23" s="3"/>
      <c r="G23" s="31"/>
      <c r="O23" s="64"/>
      <c r="P23" s="3"/>
      <c r="Q23" s="3"/>
    </row>
    <row r="24" spans="2:17">
      <c r="E24" s="6"/>
      <c r="F24" s="63"/>
      <c r="G24" s="7"/>
      <c r="O24" s="79"/>
      <c r="P24" s="88"/>
      <c r="Q24" s="3"/>
    </row>
    <row r="25" spans="2:17">
      <c r="E25" s="23"/>
      <c r="F25" s="45"/>
      <c r="O25" s="62"/>
      <c r="P25" s="88"/>
      <c r="Q25" s="3"/>
    </row>
    <row r="26" spans="2:17">
      <c r="E26" s="22"/>
      <c r="F26" s="125"/>
      <c r="O26" s="3"/>
      <c r="P26" s="3"/>
      <c r="Q26" s="3"/>
    </row>
    <row r="27" spans="2:17">
      <c r="C27" s="3"/>
      <c r="D27" s="7"/>
      <c r="E27" s="22"/>
      <c r="F27" s="125"/>
      <c r="O27" s="3"/>
      <c r="P27" s="3"/>
      <c r="Q27" s="3"/>
    </row>
    <row r="28" spans="2:17">
      <c r="C28" s="3"/>
      <c r="D28" s="3"/>
      <c r="E28" s="3"/>
      <c r="F28" s="63"/>
      <c r="N28" s="3"/>
      <c r="O28" s="3"/>
      <c r="P28" s="3"/>
      <c r="Q28" s="3"/>
    </row>
    <row r="29" spans="2:17">
      <c r="B29" s="3"/>
      <c r="C29" s="3"/>
      <c r="D29" s="3"/>
      <c r="E29" s="3"/>
      <c r="F29" s="63"/>
    </row>
    <row r="30" spans="2:17">
      <c r="D30" s="3"/>
      <c r="E30" s="3"/>
      <c r="F30" s="63"/>
    </row>
    <row r="31" spans="2:17">
      <c r="D31" s="3"/>
      <c r="E31" s="3"/>
      <c r="F31" s="63"/>
    </row>
    <row r="32" spans="2:17">
      <c r="D32" s="3"/>
      <c r="E32" s="3"/>
      <c r="F32" s="63"/>
    </row>
    <row r="33" spans="4:6">
      <c r="D33" s="3"/>
      <c r="E33" s="3"/>
      <c r="F33" s="63"/>
    </row>
  </sheetData>
  <mergeCells count="2">
    <mergeCell ref="G2:J2"/>
    <mergeCell ref="K2:L2"/>
  </mergeCells>
  <hyperlinks>
    <hyperlink ref="B11" r:id="rId1"/>
  </hyperlinks>
  <pageMargins left="0.7" right="0.7" top="0.75" bottom="0.75" header="0.3" footer="0.3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2"/>
  <sheetViews>
    <sheetView zoomScaleNormal="100" workbookViewId="0"/>
  </sheetViews>
  <sheetFormatPr defaultRowHeight="12"/>
  <cols>
    <col min="1" max="1" width="2" style="2" customWidth="1"/>
    <col min="2" max="2" width="27.28515625" style="2" customWidth="1"/>
    <col min="3" max="3" width="9.140625" style="2"/>
    <col min="4" max="4" width="10.28515625" style="2" customWidth="1"/>
    <col min="5" max="5" width="11.5703125" style="2" customWidth="1"/>
    <col min="6" max="6" width="11.5703125" style="2" bestFit="1" customWidth="1"/>
    <col min="7" max="16384" width="9.140625" style="2"/>
  </cols>
  <sheetData>
    <row r="1" spans="2:13" ht="15.75">
      <c r="B1" s="16" t="s">
        <v>4</v>
      </c>
    </row>
    <row r="3" spans="2:13">
      <c r="B3" s="109" t="s">
        <v>93</v>
      </c>
      <c r="C3" s="91">
        <f>'Risk Free Rate'!C3</f>
        <v>5.5759999999999997E-2</v>
      </c>
      <c r="D3" s="17"/>
      <c r="E3" s="17"/>
      <c r="F3" s="6"/>
      <c r="J3" s="8"/>
      <c r="K3" s="8"/>
      <c r="L3" s="8"/>
      <c r="M3" s="8"/>
    </row>
    <row r="4" spans="2:13">
      <c r="B4" s="109" t="s">
        <v>6</v>
      </c>
      <c r="C4" s="91">
        <f>'Equity Risk Premium'!F28</f>
        <v>3.9368554664685217E-2</v>
      </c>
      <c r="D4" s="41"/>
      <c r="E4" s="17"/>
      <c r="F4" s="23"/>
      <c r="G4" s="3"/>
    </row>
    <row r="5" spans="2:13">
      <c r="B5" s="109" t="s">
        <v>116</v>
      </c>
      <c r="C5" s="137">
        <f>Beta!C6</f>
        <v>1.3632133333333334</v>
      </c>
      <c r="D5" s="17"/>
      <c r="E5" s="41"/>
      <c r="F5" s="6"/>
    </row>
    <row r="6" spans="2:13">
      <c r="B6" s="18"/>
      <c r="C6" s="18"/>
      <c r="D6" s="17"/>
      <c r="E6" s="17"/>
      <c r="F6" s="6"/>
    </row>
    <row r="7" spans="2:13">
      <c r="B7" s="109" t="s">
        <v>4</v>
      </c>
      <c r="C7" s="53">
        <f>C3+C5*C4</f>
        <v>0.10942773863296108</v>
      </c>
      <c r="D7" s="17"/>
      <c r="E7" s="17"/>
      <c r="F7" s="6"/>
    </row>
    <row r="8" spans="2:13">
      <c r="B8" s="18"/>
      <c r="C8" s="18"/>
      <c r="D8" s="17"/>
      <c r="E8" s="17"/>
      <c r="F8" s="6"/>
    </row>
    <row r="9" spans="2:13">
      <c r="B9" s="138" t="s">
        <v>94</v>
      </c>
      <c r="C9" s="18"/>
      <c r="D9" s="17"/>
      <c r="E9" s="41"/>
      <c r="F9" s="6"/>
    </row>
    <row r="10" spans="2:13">
      <c r="F10" s="6"/>
    </row>
    <row r="11" spans="2:13">
      <c r="F11" s="6"/>
    </row>
    <row r="12" spans="2:13">
      <c r="F12" s="23"/>
    </row>
    <row r="13" spans="2:13" ht="15.75">
      <c r="B13" s="16"/>
      <c r="C13" s="3"/>
      <c r="D13" s="6"/>
      <c r="E13" s="6"/>
      <c r="F13" s="6"/>
    </row>
    <row r="14" spans="2:13">
      <c r="B14" s="3"/>
      <c r="C14" s="3"/>
      <c r="D14" s="6"/>
      <c r="E14" s="6"/>
      <c r="F14" s="6"/>
    </row>
    <row r="15" spans="2:13">
      <c r="B15" s="22"/>
      <c r="C15" s="82"/>
      <c r="D15" s="6"/>
      <c r="E15" s="6"/>
      <c r="F15" s="6"/>
    </row>
    <row r="16" spans="2:13">
      <c r="B16" s="22"/>
      <c r="C16" s="176"/>
      <c r="D16" s="6"/>
      <c r="E16" s="6"/>
      <c r="F16" s="23"/>
    </row>
    <row r="17" spans="2:12">
      <c r="B17" s="22"/>
      <c r="C17" s="75"/>
      <c r="D17" s="23"/>
      <c r="E17" s="23"/>
      <c r="F17" s="6"/>
    </row>
    <row r="18" spans="2:12">
      <c r="B18" s="203"/>
      <c r="C18" s="75"/>
      <c r="D18" s="6"/>
      <c r="E18" s="6"/>
      <c r="F18" s="6"/>
    </row>
    <row r="19" spans="2:12">
      <c r="C19" s="3"/>
      <c r="D19" s="6"/>
      <c r="E19" s="6"/>
      <c r="F19" s="6"/>
    </row>
    <row r="20" spans="2:12">
      <c r="B20" s="22"/>
      <c r="C20" s="56"/>
      <c r="D20" s="6"/>
      <c r="E20" s="6"/>
      <c r="F20" s="6"/>
    </row>
    <row r="21" spans="2:12">
      <c r="B21" s="22"/>
      <c r="C21" s="22"/>
      <c r="D21" s="23"/>
      <c r="E21" s="23"/>
      <c r="F21" s="23"/>
    </row>
    <row r="22" spans="2:12">
      <c r="B22" s="51"/>
      <c r="C22" s="3"/>
      <c r="D22" s="3"/>
      <c r="E22" s="3"/>
      <c r="F22" s="6"/>
      <c r="G22" s="140"/>
      <c r="H22" s="140"/>
      <c r="I22" s="140"/>
      <c r="J22" s="140"/>
      <c r="K22" s="140"/>
      <c r="L22" s="140"/>
    </row>
    <row r="23" spans="2:12">
      <c r="F23" s="6"/>
      <c r="G23" s="3"/>
      <c r="H23" s="64"/>
      <c r="I23" s="64"/>
      <c r="J23" s="64"/>
      <c r="K23" s="64"/>
      <c r="L23" s="64"/>
    </row>
    <row r="24" spans="2:12">
      <c r="B24" s="131"/>
      <c r="F24" s="6"/>
      <c r="G24" s="51"/>
      <c r="H24" s="44"/>
      <c r="I24" s="44"/>
      <c r="J24" s="44"/>
      <c r="K24" s="44"/>
      <c r="L24" s="44"/>
    </row>
    <row r="25" spans="2:12">
      <c r="B25" s="131"/>
      <c r="F25" s="23"/>
      <c r="G25" s="51"/>
      <c r="H25" s="44"/>
      <c r="I25" s="44"/>
      <c r="J25" s="44"/>
      <c r="K25" s="44"/>
      <c r="L25" s="44"/>
    </row>
    <row r="26" spans="2:12">
      <c r="B26" s="139"/>
      <c r="F26" s="3"/>
      <c r="G26" s="51"/>
      <c r="H26" s="44"/>
      <c r="I26" s="44"/>
      <c r="J26" s="44"/>
      <c r="K26" s="44"/>
      <c r="L26" s="44"/>
    </row>
    <row r="27" spans="2:12">
      <c r="B27" s="134"/>
      <c r="C27" s="3"/>
      <c r="D27" s="3"/>
      <c r="E27" s="3"/>
      <c r="F27" s="3"/>
      <c r="G27" s="51"/>
      <c r="H27" s="44"/>
      <c r="I27" s="44"/>
      <c r="J27" s="44"/>
      <c r="K27" s="44"/>
      <c r="L27" s="44"/>
    </row>
    <row r="28" spans="2:12">
      <c r="B28" s="44"/>
      <c r="C28" s="3"/>
      <c r="D28" s="3"/>
      <c r="E28" s="3"/>
      <c r="F28" s="3"/>
      <c r="G28" s="141"/>
      <c r="H28" s="141"/>
      <c r="I28" s="141"/>
      <c r="J28" s="141"/>
      <c r="K28" s="141"/>
      <c r="L28" s="22"/>
    </row>
    <row r="29" spans="2:12">
      <c r="B29" s="80"/>
      <c r="C29" s="3"/>
      <c r="D29" s="3"/>
      <c r="E29" s="3"/>
      <c r="F29" s="3"/>
    </row>
    <row r="30" spans="2:12">
      <c r="B30" s="3"/>
      <c r="C30" s="3"/>
      <c r="D30" s="3"/>
      <c r="E30" s="3"/>
      <c r="F30" s="3"/>
    </row>
    <row r="31" spans="2:12">
      <c r="B31" s="3"/>
      <c r="C31" s="3"/>
      <c r="D31" s="3"/>
      <c r="E31" s="3"/>
      <c r="F31" s="3"/>
    </row>
    <row r="32" spans="2:12">
      <c r="B32" s="3"/>
      <c r="C32" s="3"/>
      <c r="D32" s="3"/>
      <c r="E32" s="3"/>
      <c r="F32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1"/>
  <sheetViews>
    <sheetView workbookViewId="0"/>
  </sheetViews>
  <sheetFormatPr defaultRowHeight="12"/>
  <cols>
    <col min="1" max="1" width="2" style="1" customWidth="1"/>
    <col min="2" max="2" width="36" style="1" customWidth="1"/>
    <col min="3" max="16384" width="9.140625" style="1"/>
  </cols>
  <sheetData>
    <row r="1" spans="2:2" ht="41.25">
      <c r="B1" s="34" t="s">
        <v>132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0"/>
  <sheetViews>
    <sheetView workbookViewId="0"/>
  </sheetViews>
  <sheetFormatPr defaultRowHeight="12"/>
  <cols>
    <col min="1" max="1" width="2" style="144" customWidth="1"/>
    <col min="2" max="2" width="11.85546875" style="144" customWidth="1"/>
    <col min="3" max="3" width="12.7109375" style="144" customWidth="1"/>
    <col min="4" max="4" width="12.7109375" style="144" bestFit="1" customWidth="1"/>
    <col min="5" max="5" width="3.7109375" style="144" customWidth="1"/>
    <col min="6" max="6" width="13.7109375" style="144" bestFit="1" customWidth="1"/>
    <col min="7" max="7" width="11.7109375" style="144" customWidth="1"/>
    <col min="8" max="8" width="31.5703125" style="260" customWidth="1" collapsed="1"/>
    <col min="9" max="9" width="14.85546875" style="261" customWidth="1"/>
    <col min="10" max="10" width="13.7109375" style="261" bestFit="1" customWidth="1"/>
    <col min="11" max="11" width="13.42578125" style="261" customWidth="1"/>
    <col min="12" max="12" width="13.7109375" style="261" bestFit="1" customWidth="1"/>
    <col min="13" max="14" width="13.7109375" style="144" bestFit="1" customWidth="1"/>
    <col min="15" max="15" width="8.7109375" style="144" customWidth="1"/>
    <col min="16" max="16" width="6.7109375" style="144" customWidth="1"/>
    <col min="17" max="17" width="8.28515625" style="144" customWidth="1"/>
    <col min="18" max="29" width="9.140625" style="144" customWidth="1"/>
    <col min="30" max="30" width="9.28515625" style="144" customWidth="1"/>
    <col min="31" max="31" width="9.42578125" style="144" customWidth="1"/>
    <col min="32" max="32" width="10" style="144" customWidth="1"/>
    <col min="33" max="33" width="11.42578125" style="144" customWidth="1"/>
    <col min="34" max="34" width="9.42578125" style="144" bestFit="1" customWidth="1" collapsed="1"/>
    <col min="35" max="16384" width="9.140625" style="144"/>
  </cols>
  <sheetData>
    <row r="1" spans="1:33" s="143" customFormat="1" ht="15" customHeight="1">
      <c r="B1" s="16" t="s">
        <v>221</v>
      </c>
      <c r="C1" s="16"/>
      <c r="D1" s="142"/>
      <c r="E1" s="142"/>
      <c r="F1" s="142"/>
      <c r="G1" s="142"/>
      <c r="H1" s="258"/>
      <c r="I1" s="142"/>
      <c r="J1" s="142"/>
      <c r="K1" s="142"/>
      <c r="L1" s="142"/>
      <c r="M1" s="142"/>
      <c r="N1" s="142"/>
      <c r="O1" s="142"/>
    </row>
    <row r="2" spans="1:33" ht="12" customHeight="1">
      <c r="D2" s="156"/>
    </row>
    <row r="3" spans="1:33" ht="12" customHeight="1">
      <c r="A3" s="145"/>
      <c r="B3" s="164" t="s">
        <v>176</v>
      </c>
      <c r="C3" s="72" t="s">
        <v>175</v>
      </c>
      <c r="D3" s="72" t="s">
        <v>222</v>
      </c>
      <c r="E3" s="140"/>
      <c r="F3" s="140"/>
      <c r="G3" s="140"/>
      <c r="H3" s="259"/>
      <c r="I3" s="248"/>
      <c r="J3" s="248"/>
      <c r="K3" s="248"/>
      <c r="L3" s="248"/>
      <c r="M3" s="140"/>
      <c r="N3" s="140"/>
      <c r="O3" s="166"/>
    </row>
    <row r="4" spans="1:33" ht="12" customHeight="1">
      <c r="A4" s="149"/>
      <c r="B4" s="249" t="s">
        <v>177</v>
      </c>
      <c r="C4" s="250">
        <v>26698.880000000001</v>
      </c>
      <c r="D4" s="264">
        <f>145115/28.3495</f>
        <v>5118.7851637595022</v>
      </c>
      <c r="E4" s="140"/>
      <c r="F4" s="140"/>
      <c r="G4" s="162"/>
      <c r="H4" s="263"/>
      <c r="I4" s="247"/>
      <c r="J4" s="247"/>
      <c r="K4" s="247"/>
      <c r="L4" s="247"/>
      <c r="M4" s="63"/>
      <c r="N4" s="63"/>
      <c r="O4" s="65"/>
      <c r="P4" s="147"/>
      <c r="R4" s="147"/>
      <c r="S4" s="147"/>
      <c r="T4" s="147"/>
      <c r="U4" s="147"/>
      <c r="V4" s="147"/>
      <c r="W4" s="147"/>
      <c r="AB4" s="147"/>
    </row>
    <row r="5" spans="1:33" ht="12" customHeight="1">
      <c r="A5" s="149"/>
      <c r="B5" s="249" t="s">
        <v>178</v>
      </c>
      <c r="C5" s="250">
        <v>28682.07</v>
      </c>
      <c r="D5" s="264">
        <f>133911/28.3495</f>
        <v>4723.5753716996778</v>
      </c>
      <c r="E5" s="216"/>
      <c r="F5" s="216"/>
      <c r="G5" s="22"/>
      <c r="I5" s="262"/>
      <c r="J5" s="262"/>
      <c r="K5" s="262"/>
      <c r="L5" s="262"/>
      <c r="M5" s="63"/>
      <c r="N5" s="63"/>
      <c r="O5" s="170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</row>
    <row r="6" spans="1:33" ht="12" customHeight="1">
      <c r="A6" s="149"/>
      <c r="B6" s="249" t="s">
        <v>179</v>
      </c>
      <c r="C6" s="250">
        <v>28304.3</v>
      </c>
      <c r="D6" s="264">
        <f>133560/28.3495</f>
        <v>4711.1942009559252</v>
      </c>
      <c r="E6" s="118"/>
      <c r="F6" s="165"/>
      <c r="G6" s="22"/>
      <c r="I6" s="262"/>
      <c r="J6" s="262"/>
      <c r="K6" s="262"/>
      <c r="L6" s="262"/>
      <c r="M6" s="63"/>
      <c r="N6" s="63"/>
      <c r="O6" s="170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</row>
    <row r="7" spans="1:33" ht="12" customHeight="1">
      <c r="B7" s="249" t="s">
        <v>180</v>
      </c>
      <c r="C7" s="255">
        <v>27137.99</v>
      </c>
      <c r="D7" s="264">
        <f>134817/28.3495</f>
        <v>4755.5336072946611</v>
      </c>
      <c r="E7" s="158"/>
      <c r="F7" s="165"/>
      <c r="G7" s="22"/>
      <c r="I7" s="262"/>
      <c r="J7" s="262"/>
      <c r="K7" s="262"/>
      <c r="L7" s="262"/>
      <c r="M7" s="63"/>
      <c r="N7" s="63"/>
      <c r="O7" s="170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</row>
    <row r="8" spans="1:33" ht="12" customHeight="1">
      <c r="A8" s="149"/>
      <c r="B8" s="251" t="s">
        <v>181</v>
      </c>
      <c r="C8" s="252">
        <v>28238.54</v>
      </c>
      <c r="D8" s="270">
        <f>130964/28.3495</f>
        <v>4619.6229210391721</v>
      </c>
      <c r="E8" s="158"/>
      <c r="F8" s="165"/>
      <c r="G8" s="3"/>
      <c r="I8" s="262"/>
      <c r="J8" s="262"/>
      <c r="K8" s="262"/>
      <c r="L8" s="262"/>
      <c r="M8" s="63"/>
      <c r="N8" s="63"/>
      <c r="O8" s="170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</row>
    <row r="9" spans="1:33" ht="12" customHeight="1">
      <c r="A9" s="149"/>
      <c r="B9" s="251" t="s">
        <v>182</v>
      </c>
      <c r="C9" s="253">
        <v>27648.6</v>
      </c>
      <c r="D9" s="270">
        <f>134538/28.3495</f>
        <v>4745.6921638829608</v>
      </c>
      <c r="E9" s="158"/>
      <c r="F9" s="165"/>
      <c r="G9" s="22"/>
      <c r="I9" s="262"/>
      <c r="J9" s="262"/>
      <c r="K9" s="262"/>
      <c r="L9" s="262"/>
      <c r="M9" s="63"/>
      <c r="N9" s="63"/>
      <c r="O9" s="170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</row>
    <row r="10" spans="1:33" ht="12" customHeight="1">
      <c r="A10" s="146"/>
      <c r="B10" s="251" t="s">
        <v>183</v>
      </c>
      <c r="C10" s="253">
        <v>25834.15</v>
      </c>
      <c r="D10" s="270">
        <f>140049/28.3495</f>
        <v>4940.0871267570856</v>
      </c>
      <c r="E10" s="118"/>
      <c r="F10" s="165"/>
      <c r="I10" s="262"/>
      <c r="J10" s="262"/>
      <c r="K10" s="262"/>
      <c r="L10" s="262"/>
      <c r="M10" s="63"/>
      <c r="N10" s="63"/>
      <c r="O10" s="170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</row>
    <row r="11" spans="1:33" ht="12" customHeight="1">
      <c r="A11" s="149"/>
      <c r="B11" s="251" t="s">
        <v>184</v>
      </c>
      <c r="C11" s="253">
        <v>23850.83</v>
      </c>
      <c r="D11" s="270">
        <f>147959/28.3495</f>
        <v>5219.1043933755445</v>
      </c>
      <c r="E11" s="75"/>
      <c r="F11" s="165"/>
      <c r="G11" s="22"/>
      <c r="I11" s="262"/>
      <c r="J11" s="262"/>
      <c r="K11" s="262"/>
      <c r="L11" s="262"/>
      <c r="M11" s="63"/>
      <c r="N11" s="63"/>
      <c r="O11" s="170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</row>
    <row r="12" spans="1:33" ht="12" customHeight="1">
      <c r="B12" s="249" t="s">
        <v>188</v>
      </c>
      <c r="C12" s="250">
        <v>26305.02</v>
      </c>
      <c r="D12" s="264">
        <f>126568/28.3495</f>
        <v>4464.5584578211256</v>
      </c>
      <c r="E12" s="180"/>
      <c r="F12" s="171"/>
      <c r="G12" s="22"/>
      <c r="I12" s="262"/>
      <c r="J12" s="262"/>
      <c r="K12" s="262"/>
      <c r="L12" s="262"/>
      <c r="M12" s="63"/>
      <c r="N12" s="63"/>
      <c r="O12" s="170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</row>
    <row r="13" spans="1:33" ht="12" customHeight="1">
      <c r="A13" s="149"/>
      <c r="B13" s="249" t="s">
        <v>187</v>
      </c>
      <c r="C13" s="250">
        <v>23099.96</v>
      </c>
      <c r="D13" s="264">
        <f>113735/28.3495</f>
        <v>4011.8873348736311</v>
      </c>
      <c r="E13" s="180"/>
      <c r="F13" s="171"/>
      <c r="G13" s="22"/>
      <c r="I13" s="262"/>
      <c r="J13" s="262"/>
      <c r="K13" s="262"/>
      <c r="L13" s="262"/>
      <c r="M13" s="63"/>
      <c r="N13" s="63"/>
      <c r="O13" s="169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</row>
    <row r="14" spans="1:33" ht="12" customHeight="1">
      <c r="B14" s="249" t="s">
        <v>186</v>
      </c>
      <c r="C14" s="250">
        <v>21368.880000000001</v>
      </c>
      <c r="D14" s="264">
        <f>107373/28.3495</f>
        <v>3787.4742058942838</v>
      </c>
      <c r="E14" s="180"/>
      <c r="F14" s="171"/>
      <c r="G14" s="22"/>
      <c r="I14" s="262"/>
      <c r="J14" s="262"/>
      <c r="K14" s="262"/>
      <c r="L14" s="262"/>
      <c r="M14" s="63"/>
      <c r="N14" s="63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</row>
    <row r="15" spans="1:33" ht="12" customHeight="1">
      <c r="B15" s="249" t="s">
        <v>185</v>
      </c>
      <c r="C15" s="255">
        <v>18568.23</v>
      </c>
      <c r="D15" s="264">
        <f>97341/28.3495</f>
        <v>3433.6055309617454</v>
      </c>
      <c r="E15" s="180"/>
      <c r="F15" s="171"/>
      <c r="G15" s="3"/>
      <c r="I15" s="262"/>
      <c r="J15" s="262"/>
      <c r="K15" s="262"/>
      <c r="L15" s="262"/>
      <c r="M15" s="63"/>
      <c r="N15" s="63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</row>
    <row r="16" spans="1:33" ht="12" customHeight="1">
      <c r="B16" s="251" t="s">
        <v>189</v>
      </c>
      <c r="C16" s="252">
        <v>18797.150000000001</v>
      </c>
      <c r="D16" s="270">
        <f>89367/28.3495</f>
        <v>3152.3307289370182</v>
      </c>
      <c r="E16" s="180"/>
      <c r="F16" s="171"/>
      <c r="G16" s="22"/>
      <c r="I16" s="262"/>
      <c r="J16" s="262"/>
      <c r="K16" s="262"/>
      <c r="L16" s="262"/>
      <c r="M16" s="63"/>
      <c r="N16" s="63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</row>
    <row r="17" spans="1:35" ht="12" customHeight="1">
      <c r="B17" s="251" t="s">
        <v>190</v>
      </c>
      <c r="C17" s="253">
        <v>17165.162</v>
      </c>
      <c r="D17" s="271">
        <f>93750/28.3495</f>
        <v>3306.9366302756662</v>
      </c>
      <c r="E17" s="180"/>
      <c r="F17" s="171"/>
      <c r="I17" s="262"/>
      <c r="J17" s="262"/>
      <c r="K17" s="262"/>
      <c r="L17" s="262"/>
      <c r="M17" s="63"/>
      <c r="N17" s="63"/>
      <c r="O17" s="65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</row>
    <row r="18" spans="1:35" ht="12" customHeight="1">
      <c r="A18" s="149"/>
      <c r="B18" s="251" t="s">
        <v>191</v>
      </c>
      <c r="C18" s="253">
        <v>16496.313999999998</v>
      </c>
      <c r="D18" s="272">
        <v>3166.6872431612551</v>
      </c>
      <c r="F18" s="171"/>
      <c r="G18" s="146"/>
      <c r="I18" s="262"/>
      <c r="J18" s="262"/>
      <c r="K18" s="262"/>
      <c r="L18" s="262"/>
      <c r="M18" s="63"/>
      <c r="N18" s="63"/>
      <c r="O18" s="171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</row>
    <row r="19" spans="1:35" ht="12" customHeight="1">
      <c r="B19" s="251" t="s">
        <v>192</v>
      </c>
      <c r="C19" s="253">
        <v>16322.956</v>
      </c>
      <c r="D19" s="272">
        <v>2953.9145311204784</v>
      </c>
      <c r="F19" s="171"/>
      <c r="G19" s="146"/>
      <c r="I19" s="262"/>
      <c r="J19" s="262"/>
      <c r="K19" s="262"/>
      <c r="L19" s="262"/>
      <c r="M19" s="63"/>
      <c r="N19" s="63"/>
      <c r="O19" s="171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</row>
    <row r="20" spans="1:35" ht="12" customHeight="1">
      <c r="A20" s="149"/>
      <c r="B20" s="249" t="s">
        <v>193</v>
      </c>
      <c r="C20" s="250">
        <v>16080.308999999999</v>
      </c>
      <c r="D20" s="265">
        <v>3082.1707613890899</v>
      </c>
      <c r="F20" s="171"/>
      <c r="G20" s="146"/>
      <c r="I20" s="262"/>
      <c r="J20" s="262"/>
      <c r="K20" s="262"/>
      <c r="L20" s="262"/>
      <c r="M20" s="63"/>
      <c r="N20" s="63"/>
      <c r="O20" s="171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</row>
    <row r="21" spans="1:35" ht="12" customHeight="1">
      <c r="B21" s="249" t="s">
        <v>194</v>
      </c>
      <c r="C21" s="250">
        <v>15666.635</v>
      </c>
      <c r="D21" s="265">
        <v>3013.6686714051393</v>
      </c>
      <c r="F21" s="171"/>
      <c r="G21" s="174"/>
      <c r="I21" s="262"/>
      <c r="J21" s="262"/>
      <c r="K21" s="262"/>
      <c r="L21" s="262"/>
      <c r="M21" s="257"/>
      <c r="N21" s="257"/>
      <c r="O21" s="173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</row>
    <row r="22" spans="1:35" ht="12" customHeight="1">
      <c r="B22" s="249" t="s">
        <v>195</v>
      </c>
      <c r="C22" s="250">
        <v>16699.302</v>
      </c>
      <c r="D22" s="265">
        <v>2902.9436145258296</v>
      </c>
      <c r="F22" s="171"/>
      <c r="G22" s="174"/>
      <c r="I22" s="262"/>
      <c r="J22" s="262"/>
      <c r="K22" s="262"/>
      <c r="L22" s="262"/>
      <c r="M22" s="256"/>
      <c r="N22" s="256"/>
      <c r="O22" s="16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</row>
    <row r="23" spans="1:35" ht="12" customHeight="1">
      <c r="B23" s="249" t="s">
        <v>196</v>
      </c>
      <c r="C23" s="255">
        <v>13985.796</v>
      </c>
      <c r="D23" s="265">
        <v>2872.7843524577156</v>
      </c>
      <c r="I23" s="262"/>
      <c r="J23" s="262"/>
      <c r="K23" s="262"/>
      <c r="L23" s="262"/>
      <c r="M23" s="256"/>
      <c r="N23" s="256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</row>
    <row r="24" spans="1:35" ht="12" customHeight="1">
      <c r="B24" s="251" t="s">
        <v>200</v>
      </c>
      <c r="C24" s="252">
        <v>17123.197</v>
      </c>
      <c r="D24" s="272">
        <v>2873.8425721794038</v>
      </c>
      <c r="I24" s="262"/>
      <c r="J24" s="262"/>
      <c r="K24" s="262"/>
      <c r="L24" s="262"/>
      <c r="M24" s="256"/>
      <c r="N24" s="256"/>
      <c r="O24" s="205"/>
      <c r="P24" s="79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</row>
    <row r="25" spans="1:35" ht="12" customHeight="1">
      <c r="B25" s="251" t="s">
        <v>199</v>
      </c>
      <c r="C25" s="253">
        <v>13464.212</v>
      </c>
      <c r="D25" s="272">
        <v>2880.4740824353166</v>
      </c>
      <c r="F25" s="298" t="s">
        <v>224</v>
      </c>
      <c r="G25" s="298"/>
      <c r="H25" s="298"/>
      <c r="I25" s="262"/>
      <c r="J25" s="262"/>
      <c r="K25" s="262"/>
      <c r="L25" s="262"/>
      <c r="M25" s="256"/>
      <c r="N25" s="256"/>
      <c r="O25" s="206"/>
      <c r="P25" s="152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</row>
    <row r="26" spans="1:35" ht="12" customHeight="1">
      <c r="B26" s="251" t="s">
        <v>198</v>
      </c>
      <c r="C26" s="253">
        <v>13817.49</v>
      </c>
      <c r="D26" s="272">
        <v>3004.038871937777</v>
      </c>
      <c r="F26" s="133" t="s">
        <v>223</v>
      </c>
      <c r="G26" s="90">
        <v>0.88149999999999995</v>
      </c>
      <c r="H26" s="283"/>
      <c r="I26" s="262"/>
      <c r="J26" s="262"/>
      <c r="K26" s="262"/>
      <c r="L26" s="262"/>
      <c r="M26" s="256"/>
      <c r="N26" s="256"/>
      <c r="O26" s="207"/>
      <c r="P26" s="152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</row>
    <row r="27" spans="1:35" ht="12" customHeight="1">
      <c r="B27" s="251" t="s">
        <v>197</v>
      </c>
      <c r="C27" s="253">
        <v>12963.946</v>
      </c>
      <c r="D27" s="272">
        <v>3173.742041305843</v>
      </c>
      <c r="F27" s="133" t="s">
        <v>225</v>
      </c>
      <c r="G27" s="90">
        <v>0.87870000000000004</v>
      </c>
      <c r="H27" s="283"/>
      <c r="I27" s="262"/>
      <c r="J27" s="262"/>
      <c r="K27" s="262"/>
      <c r="L27" s="262"/>
      <c r="M27" s="256"/>
      <c r="N27" s="256"/>
      <c r="O27" s="207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</row>
    <row r="28" spans="1:35" ht="12" customHeight="1">
      <c r="B28" s="249" t="s">
        <v>201</v>
      </c>
      <c r="C28" s="250">
        <v>11469.464</v>
      </c>
      <c r="D28" s="265">
        <v>3029.965255119138</v>
      </c>
      <c r="F28" s="133" t="s">
        <v>226</v>
      </c>
      <c r="G28" s="232">
        <v>4.589E-21</v>
      </c>
      <c r="H28" s="284" t="s">
        <v>227</v>
      </c>
      <c r="I28" s="262"/>
      <c r="J28" s="262"/>
      <c r="K28" s="262"/>
      <c r="L28" s="262"/>
      <c r="M28" s="256"/>
      <c r="N28" s="256"/>
      <c r="O28" s="20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</row>
    <row r="29" spans="1:35" ht="12" customHeight="1">
      <c r="B29" s="249" t="s">
        <v>202</v>
      </c>
      <c r="C29" s="250">
        <v>11382.679</v>
      </c>
      <c r="D29" s="265">
        <v>2675.6027443164785</v>
      </c>
      <c r="F29" s="133"/>
      <c r="G29" s="254"/>
      <c r="H29" s="283"/>
      <c r="I29" s="262"/>
      <c r="J29" s="262"/>
      <c r="K29" s="262"/>
      <c r="L29" s="262"/>
      <c r="M29" s="256"/>
      <c r="N29" s="256"/>
      <c r="O29" s="20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</row>
    <row r="30" spans="1:35" ht="12" customHeight="1">
      <c r="B30" s="249" t="s">
        <v>203</v>
      </c>
      <c r="C30" s="250">
        <v>11361.298000000001</v>
      </c>
      <c r="D30" s="265">
        <v>2635.0023809943741</v>
      </c>
      <c r="F30" s="285" t="s">
        <v>228</v>
      </c>
      <c r="G30" s="285"/>
      <c r="H30" s="285"/>
      <c r="I30" s="262"/>
      <c r="J30" s="262"/>
      <c r="K30" s="262"/>
      <c r="L30" s="262"/>
      <c r="M30" s="256"/>
      <c r="N30" s="63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</row>
    <row r="31" spans="1:35" ht="12" customHeight="1">
      <c r="B31" s="249" t="s">
        <v>204</v>
      </c>
      <c r="C31" s="255">
        <v>11400.564</v>
      </c>
      <c r="D31" s="265">
        <v>2472.036543854389</v>
      </c>
      <c r="F31" s="171"/>
      <c r="I31" s="262"/>
      <c r="J31" s="262"/>
      <c r="K31" s="262"/>
      <c r="L31" s="262"/>
      <c r="M31" s="256"/>
      <c r="N31" s="63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</row>
    <row r="32" spans="1:35" ht="12" customHeight="1">
      <c r="B32" s="251" t="s">
        <v>205</v>
      </c>
      <c r="C32" s="252">
        <v>11003.485000000001</v>
      </c>
      <c r="D32" s="272">
        <v>2652.745198328013</v>
      </c>
      <c r="F32" s="171"/>
      <c r="I32" s="262"/>
      <c r="J32" s="262"/>
      <c r="K32" s="262"/>
      <c r="L32" s="262"/>
      <c r="M32" s="256"/>
      <c r="N32" s="256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</row>
    <row r="33" spans="2:35" ht="12" customHeight="1">
      <c r="B33" s="251" t="s">
        <v>206</v>
      </c>
      <c r="C33" s="253">
        <v>10679.1</v>
      </c>
      <c r="D33" s="272">
        <v>2807.421647648107</v>
      </c>
      <c r="F33" s="171"/>
      <c r="I33" s="262"/>
      <c r="J33" s="262"/>
      <c r="K33" s="262"/>
      <c r="L33" s="262"/>
      <c r="M33" s="256"/>
      <c r="N33" s="256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</row>
    <row r="34" spans="2:35" ht="12" customHeight="1">
      <c r="B34" s="251" t="s">
        <v>207</v>
      </c>
      <c r="C34" s="253">
        <v>10582.867</v>
      </c>
      <c r="D34" s="272">
        <v>2539.8684280146035</v>
      </c>
      <c r="F34" s="267"/>
      <c r="G34" s="267"/>
      <c r="H34" s="267"/>
      <c r="I34" s="267"/>
      <c r="J34" s="267"/>
      <c r="K34" s="267"/>
      <c r="L34" s="267"/>
      <c r="M34" s="267"/>
      <c r="N34" s="267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</row>
    <row r="35" spans="2:35" ht="12" customHeight="1">
      <c r="B35" s="251" t="s">
        <v>208</v>
      </c>
      <c r="C35" s="253">
        <v>10875.566999999999</v>
      </c>
      <c r="D35" s="272">
        <v>2738.7784617012649</v>
      </c>
      <c r="F35" s="267"/>
      <c r="G35" s="267"/>
      <c r="H35" s="267"/>
      <c r="I35" s="267"/>
      <c r="J35" s="267"/>
      <c r="K35" s="267"/>
      <c r="L35" s="267"/>
      <c r="M35" s="267"/>
      <c r="N35" s="267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</row>
    <row r="36" spans="2:35" ht="12" customHeight="1">
      <c r="B36" s="249" t="s">
        <v>209</v>
      </c>
      <c r="C36" s="250">
        <v>11525.228999999999</v>
      </c>
      <c r="D36" s="265">
        <v>2748.0202472706751</v>
      </c>
      <c r="F36" s="279"/>
      <c r="G36" s="279"/>
      <c r="H36" s="274"/>
      <c r="I36" s="274"/>
      <c r="J36" s="274"/>
      <c r="K36" s="274"/>
      <c r="L36" s="274"/>
      <c r="M36" s="274"/>
      <c r="N36" s="274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</row>
    <row r="37" spans="2:35" ht="12" customHeight="1">
      <c r="B37" s="249" t="s">
        <v>210</v>
      </c>
      <c r="C37" s="250">
        <v>11959.253000000001</v>
      </c>
      <c r="D37" s="265">
        <v>2749.9955907511599</v>
      </c>
      <c r="F37" s="268"/>
      <c r="G37" s="273"/>
      <c r="H37" s="274"/>
      <c r="I37" s="274"/>
      <c r="J37" s="274"/>
      <c r="K37" s="274"/>
      <c r="L37" s="274"/>
      <c r="M37" s="274"/>
      <c r="N37" s="274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</row>
    <row r="38" spans="2:35" ht="12" customHeight="1">
      <c r="B38" s="249" t="s">
        <v>211</v>
      </c>
      <c r="C38" s="250">
        <v>12955.050999999999</v>
      </c>
      <c r="D38" s="265">
        <v>2874.3716820402478</v>
      </c>
      <c r="F38" s="268"/>
      <c r="G38" s="273"/>
      <c r="H38" s="280"/>
      <c r="I38" s="274"/>
      <c r="J38" s="274"/>
      <c r="K38" s="274"/>
      <c r="L38" s="274"/>
      <c r="M38" s="274"/>
      <c r="N38" s="274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</row>
    <row r="39" spans="2:35" ht="12" customHeight="1">
      <c r="B39" s="249" t="s">
        <v>212</v>
      </c>
      <c r="C39" s="255">
        <v>12839.287</v>
      </c>
      <c r="D39" s="265">
        <v>2837.1928958182684</v>
      </c>
      <c r="F39" s="268"/>
      <c r="G39" s="273"/>
      <c r="H39" s="274"/>
      <c r="I39" s="274"/>
      <c r="J39" s="274"/>
      <c r="K39" s="274"/>
      <c r="L39" s="274"/>
      <c r="M39" s="274"/>
      <c r="N39" s="274"/>
    </row>
    <row r="40" spans="2:35" ht="12" customHeight="1">
      <c r="B40" s="251" t="s">
        <v>213</v>
      </c>
      <c r="C40" s="252">
        <v>14061.983</v>
      </c>
      <c r="D40" s="272">
        <v>2794.8288329600168</v>
      </c>
      <c r="F40" s="268"/>
      <c r="G40" s="268"/>
      <c r="H40" s="274"/>
      <c r="I40" s="274"/>
      <c r="J40" s="274"/>
      <c r="K40" s="274"/>
      <c r="L40" s="274"/>
      <c r="M40" s="274"/>
      <c r="N40" s="274"/>
    </row>
    <row r="41" spans="2:35" ht="12" customHeight="1">
      <c r="B41" s="251" t="s">
        <v>214</v>
      </c>
      <c r="C41" s="253">
        <v>13591.796</v>
      </c>
      <c r="D41" s="272">
        <v>3124.3937282844495</v>
      </c>
      <c r="F41" s="268"/>
      <c r="G41" s="268"/>
      <c r="H41" s="274"/>
      <c r="I41" s="274"/>
      <c r="J41" s="274"/>
      <c r="K41" s="274"/>
      <c r="L41" s="281"/>
      <c r="M41" s="274"/>
      <c r="N41" s="274"/>
    </row>
    <row r="42" spans="2:35" ht="12" customHeight="1">
      <c r="B42" s="251" t="s">
        <v>215</v>
      </c>
      <c r="C42" s="253">
        <v>13060.606</v>
      </c>
      <c r="D42" s="272">
        <v>3263.1616077884973</v>
      </c>
      <c r="F42" s="274"/>
      <c r="G42" s="274"/>
      <c r="H42" s="274"/>
      <c r="I42" s="274"/>
      <c r="J42" s="274"/>
      <c r="K42" s="274"/>
      <c r="L42" s="274"/>
      <c r="M42" s="274"/>
      <c r="N42" s="274"/>
    </row>
    <row r="43" spans="2:35" ht="12" customHeight="1">
      <c r="B43" s="251" t="s">
        <v>216</v>
      </c>
      <c r="C43" s="253">
        <v>12874.6</v>
      </c>
      <c r="D43" s="272">
        <v>3162.701282209563</v>
      </c>
      <c r="F43" s="274"/>
      <c r="G43" s="274"/>
      <c r="H43" s="274"/>
      <c r="I43" s="274"/>
      <c r="J43" s="274"/>
      <c r="K43" s="274"/>
      <c r="L43" s="274"/>
      <c r="M43" s="274"/>
      <c r="N43" s="274"/>
    </row>
    <row r="44" spans="2:35" ht="12" customHeight="1">
      <c r="B44" s="249" t="s">
        <v>218</v>
      </c>
      <c r="C44" s="250">
        <v>12876.788</v>
      </c>
      <c r="D44" s="265">
        <v>3090.1074093017514</v>
      </c>
      <c r="F44" s="275"/>
      <c r="G44" s="275"/>
      <c r="H44" s="275"/>
      <c r="I44" s="275"/>
      <c r="J44" s="275"/>
      <c r="K44" s="275"/>
      <c r="L44" s="274"/>
      <c r="M44" s="274"/>
      <c r="N44" s="274"/>
    </row>
    <row r="45" spans="2:35" ht="12" customHeight="1">
      <c r="B45" s="249" t="s">
        <v>219</v>
      </c>
      <c r="C45" s="250">
        <v>12261.404</v>
      </c>
      <c r="D45" s="266">
        <f>86082/28.3495</f>
        <v>3036.4556694121588</v>
      </c>
      <c r="F45" s="268"/>
      <c r="G45" s="268"/>
      <c r="H45" s="268"/>
      <c r="I45" s="268"/>
      <c r="J45" s="268"/>
      <c r="K45" s="269"/>
      <c r="L45" s="274"/>
      <c r="M45" s="274"/>
      <c r="N45" s="274"/>
    </row>
    <row r="46" spans="2:35" ht="12" customHeight="1">
      <c r="B46" s="249" t="s">
        <v>220</v>
      </c>
      <c r="C46" s="250">
        <v>10984.088</v>
      </c>
      <c r="D46" s="266">
        <f>83418/28.3495</f>
        <v>2942.4857581262459</v>
      </c>
      <c r="F46" s="268"/>
      <c r="G46" s="268"/>
      <c r="H46" s="268"/>
      <c r="I46" s="268"/>
      <c r="J46" s="268"/>
      <c r="K46" s="268"/>
      <c r="L46" s="274"/>
      <c r="M46" s="274"/>
      <c r="N46" s="274"/>
    </row>
    <row r="47" spans="2:35" s="143" customFormat="1" ht="12.75" customHeight="1">
      <c r="B47" s="276" t="s">
        <v>217</v>
      </c>
      <c r="C47" s="277">
        <v>9141.9639999999999</v>
      </c>
      <c r="D47" s="278">
        <f>71875/28.3495</f>
        <v>2535.3180832113444</v>
      </c>
      <c r="F47" s="282"/>
      <c r="G47" s="282"/>
      <c r="H47" s="282"/>
      <c r="I47" s="282"/>
      <c r="J47" s="282"/>
      <c r="K47" s="282"/>
      <c r="L47" s="282"/>
      <c r="M47" s="282"/>
      <c r="N47" s="282"/>
    </row>
    <row r="48" spans="2:35" ht="12" customHeight="1">
      <c r="F48" s="274"/>
      <c r="G48" s="274"/>
      <c r="H48" s="274"/>
      <c r="I48" s="274"/>
      <c r="J48" s="274"/>
      <c r="K48" s="274"/>
      <c r="L48" s="274"/>
      <c r="M48" s="274"/>
      <c r="N48" s="274"/>
    </row>
    <row r="49" spans="6:14" ht="12" customHeight="1">
      <c r="F49" s="275"/>
      <c r="G49" s="275"/>
      <c r="H49" s="275"/>
      <c r="I49" s="275"/>
      <c r="J49" s="275"/>
      <c r="K49" s="275"/>
      <c r="L49" s="275"/>
      <c r="M49" s="275"/>
      <c r="N49" s="275"/>
    </row>
    <row r="50" spans="6:14" ht="12" customHeight="1">
      <c r="F50" s="268"/>
      <c r="G50" s="268"/>
      <c r="H50" s="268"/>
      <c r="I50" s="268"/>
      <c r="J50" s="268"/>
      <c r="K50" s="268"/>
      <c r="L50" s="268"/>
      <c r="M50" s="268"/>
      <c r="N50" s="268"/>
    </row>
    <row r="51" spans="6:14" ht="12" customHeight="1">
      <c r="F51" s="268"/>
      <c r="G51" s="268"/>
      <c r="H51" s="268"/>
      <c r="I51" s="268"/>
      <c r="J51" s="268"/>
      <c r="K51" s="268"/>
      <c r="L51" s="268"/>
      <c r="M51" s="268"/>
      <c r="N51" s="268"/>
    </row>
    <row r="52" spans="6:14" ht="12" customHeight="1">
      <c r="F52" s="267"/>
      <c r="G52" s="267"/>
      <c r="H52" s="267"/>
      <c r="I52" s="267"/>
      <c r="J52" s="267"/>
      <c r="K52" s="267"/>
      <c r="L52" s="267"/>
      <c r="M52" s="267"/>
      <c r="N52" s="267"/>
    </row>
    <row r="53" spans="6:14" ht="12" customHeight="1">
      <c r="F53" s="267"/>
      <c r="G53" s="267"/>
      <c r="H53" s="267"/>
      <c r="I53" s="267"/>
      <c r="J53" s="267"/>
      <c r="K53" s="267"/>
      <c r="L53" s="267"/>
      <c r="M53" s="267"/>
      <c r="N53" s="267"/>
    </row>
    <row r="54" spans="6:14" ht="12" customHeight="1">
      <c r="F54" s="267"/>
      <c r="G54" s="267"/>
      <c r="H54" s="267"/>
      <c r="I54" s="267"/>
      <c r="J54" s="267"/>
      <c r="K54" s="267"/>
      <c r="L54" s="267"/>
      <c r="M54" s="267"/>
      <c r="N54" s="267"/>
    </row>
    <row r="55" spans="6:14" ht="12" customHeight="1">
      <c r="F55" s="274"/>
      <c r="G55" s="274"/>
      <c r="H55" s="274"/>
      <c r="I55" s="267"/>
      <c r="J55" s="267"/>
      <c r="K55" s="267"/>
      <c r="L55" s="267"/>
      <c r="M55" s="267"/>
      <c r="N55" s="267"/>
    </row>
    <row r="56" spans="6:14" ht="12" customHeight="1">
      <c r="F56" s="274"/>
      <c r="G56" s="274"/>
      <c r="H56" s="274"/>
      <c r="I56" s="267"/>
      <c r="J56" s="267"/>
      <c r="K56" s="267"/>
      <c r="L56" s="267"/>
      <c r="M56" s="267"/>
      <c r="N56" s="267"/>
    </row>
    <row r="57" spans="6:14" ht="12" customHeight="1">
      <c r="F57" s="275"/>
      <c r="G57" s="275"/>
      <c r="H57" s="275"/>
      <c r="I57" s="267"/>
      <c r="J57" s="267"/>
      <c r="K57" s="267"/>
      <c r="L57" s="267"/>
      <c r="M57" s="267"/>
      <c r="N57" s="267"/>
    </row>
    <row r="58" spans="6:14" ht="12" customHeight="1">
      <c r="F58" s="268"/>
      <c r="G58" s="268"/>
      <c r="H58" s="268"/>
      <c r="I58" s="267"/>
      <c r="J58" s="267"/>
      <c r="K58" s="267"/>
      <c r="L58" s="267"/>
      <c r="M58" s="267"/>
      <c r="N58" s="267"/>
    </row>
    <row r="59" spans="6:14" ht="12" customHeight="1">
      <c r="F59" s="268"/>
      <c r="G59" s="268"/>
      <c r="H59" s="268"/>
      <c r="I59" s="267"/>
      <c r="J59" s="267"/>
      <c r="K59" s="267"/>
      <c r="L59" s="267"/>
      <c r="M59" s="267"/>
      <c r="N59" s="267"/>
    </row>
    <row r="60" spans="6:14" ht="12" customHeight="1">
      <c r="F60" s="268"/>
      <c r="G60" s="268"/>
      <c r="H60" s="268"/>
      <c r="I60" s="267"/>
      <c r="J60" s="267"/>
      <c r="K60" s="267"/>
      <c r="L60" s="267"/>
      <c r="M60" s="267"/>
      <c r="N60" s="267"/>
    </row>
    <row r="61" spans="6:14" ht="12" customHeight="1">
      <c r="F61" s="268"/>
      <c r="G61" s="268"/>
      <c r="H61" s="268"/>
      <c r="I61" s="267"/>
      <c r="J61" s="267"/>
      <c r="K61" s="267"/>
      <c r="L61" s="267"/>
      <c r="M61" s="267"/>
      <c r="N61" s="267"/>
    </row>
    <row r="62" spans="6:14" ht="12" customHeight="1">
      <c r="F62" s="268"/>
      <c r="G62" s="268"/>
      <c r="H62" s="268"/>
      <c r="I62" s="267"/>
      <c r="J62" s="267"/>
      <c r="K62" s="267"/>
      <c r="L62" s="267"/>
      <c r="M62" s="267"/>
      <c r="N62" s="267"/>
    </row>
    <row r="63" spans="6:14" ht="12" customHeight="1">
      <c r="F63" s="268"/>
      <c r="G63" s="268"/>
      <c r="H63" s="268"/>
      <c r="I63" s="267"/>
      <c r="J63" s="267"/>
      <c r="K63" s="267"/>
      <c r="L63" s="267"/>
      <c r="M63" s="267"/>
      <c r="N63" s="267"/>
    </row>
    <row r="64" spans="6:14" ht="12" customHeight="1">
      <c r="F64" s="268"/>
      <c r="G64" s="268"/>
      <c r="H64" s="268"/>
      <c r="I64" s="267"/>
      <c r="J64" s="267"/>
      <c r="K64" s="267"/>
      <c r="L64" s="267"/>
      <c r="M64" s="267"/>
      <c r="N64" s="267"/>
    </row>
    <row r="65" spans="6:14" ht="12" customHeight="1">
      <c r="F65" s="268"/>
      <c r="G65" s="268"/>
      <c r="H65" s="268"/>
      <c r="I65" s="267"/>
      <c r="J65" s="267"/>
      <c r="K65" s="267"/>
      <c r="L65" s="267"/>
      <c r="M65" s="267"/>
      <c r="N65" s="267"/>
    </row>
    <row r="66" spans="6:14" ht="12" customHeight="1">
      <c r="F66" s="268"/>
      <c r="G66" s="268"/>
      <c r="H66" s="268"/>
      <c r="I66" s="267"/>
      <c r="J66" s="267"/>
      <c r="K66" s="267"/>
      <c r="L66" s="267"/>
      <c r="M66" s="267"/>
      <c r="N66" s="267"/>
    </row>
    <row r="67" spans="6:14" ht="12" customHeight="1">
      <c r="F67" s="268"/>
      <c r="G67" s="268"/>
      <c r="H67" s="268"/>
      <c r="I67" s="267"/>
      <c r="J67" s="267"/>
      <c r="K67" s="267"/>
      <c r="L67" s="267"/>
      <c r="M67" s="267"/>
      <c r="N67" s="267"/>
    </row>
    <row r="68" spans="6:14" ht="12" customHeight="1">
      <c r="F68" s="268"/>
      <c r="G68" s="268"/>
      <c r="H68" s="268"/>
      <c r="I68" s="267"/>
      <c r="J68" s="267"/>
      <c r="K68" s="267"/>
      <c r="L68" s="267"/>
      <c r="M68" s="267"/>
      <c r="N68" s="267"/>
    </row>
    <row r="69" spans="6:14" ht="12" customHeight="1">
      <c r="F69" s="268"/>
      <c r="G69" s="268"/>
      <c r="H69" s="268"/>
      <c r="I69" s="267"/>
      <c r="J69" s="267"/>
      <c r="K69" s="267"/>
      <c r="L69" s="267"/>
      <c r="M69" s="267"/>
      <c r="N69" s="267"/>
    </row>
    <row r="70" spans="6:14" ht="12" customHeight="1">
      <c r="F70" s="268"/>
      <c r="G70" s="268"/>
      <c r="H70" s="268"/>
      <c r="I70" s="267"/>
      <c r="J70" s="267"/>
      <c r="K70" s="267"/>
      <c r="L70" s="267"/>
      <c r="M70" s="267"/>
      <c r="N70" s="267"/>
    </row>
    <row r="71" spans="6:14" ht="12" customHeight="1">
      <c r="F71" s="268"/>
      <c r="G71" s="268"/>
      <c r="H71" s="268"/>
      <c r="I71" s="267"/>
      <c r="J71" s="267"/>
      <c r="K71" s="267"/>
      <c r="L71" s="267"/>
      <c r="M71" s="267"/>
      <c r="N71" s="267"/>
    </row>
    <row r="72" spans="6:14" ht="12" customHeight="1">
      <c r="F72" s="268"/>
      <c r="G72" s="268"/>
      <c r="H72" s="268"/>
      <c r="I72" s="267"/>
      <c r="J72" s="267"/>
      <c r="K72" s="267"/>
      <c r="L72" s="267"/>
      <c r="M72" s="267"/>
      <c r="N72" s="267"/>
    </row>
    <row r="73" spans="6:14" ht="12" customHeight="1">
      <c r="F73" s="268"/>
      <c r="G73" s="268"/>
      <c r="H73" s="268"/>
      <c r="I73" s="267"/>
      <c r="J73" s="267"/>
      <c r="K73" s="267"/>
      <c r="L73" s="267"/>
      <c r="M73" s="267"/>
      <c r="N73" s="267"/>
    </row>
    <row r="74" spans="6:14" ht="12" customHeight="1">
      <c r="F74" s="268"/>
      <c r="G74" s="268"/>
      <c r="H74" s="268"/>
      <c r="I74" s="267"/>
      <c r="J74" s="267"/>
      <c r="K74" s="267"/>
      <c r="L74" s="267"/>
      <c r="M74" s="267"/>
      <c r="N74" s="267"/>
    </row>
    <row r="75" spans="6:14" ht="12" customHeight="1">
      <c r="F75" s="268"/>
      <c r="G75" s="268"/>
      <c r="H75" s="268"/>
      <c r="I75" s="267"/>
      <c r="J75" s="267"/>
      <c r="K75" s="267"/>
      <c r="L75" s="267"/>
      <c r="M75" s="267"/>
      <c r="N75" s="267"/>
    </row>
    <row r="76" spans="6:14" ht="12" customHeight="1">
      <c r="F76" s="268"/>
      <c r="G76" s="268"/>
      <c r="H76" s="268"/>
      <c r="I76" s="267"/>
      <c r="J76" s="267"/>
      <c r="K76" s="267"/>
      <c r="L76" s="267"/>
      <c r="M76" s="267"/>
      <c r="N76" s="267"/>
    </row>
    <row r="77" spans="6:14" ht="12" customHeight="1">
      <c r="F77" s="268"/>
      <c r="G77" s="268"/>
      <c r="H77" s="268"/>
      <c r="I77" s="267"/>
      <c r="J77" s="267"/>
      <c r="K77" s="267"/>
      <c r="L77" s="267"/>
      <c r="M77" s="267"/>
      <c r="N77" s="267"/>
    </row>
    <row r="78" spans="6:14" ht="12" customHeight="1">
      <c r="F78" s="268"/>
      <c r="G78" s="268"/>
      <c r="H78" s="268"/>
      <c r="I78" s="267"/>
      <c r="J78" s="267"/>
      <c r="K78" s="267"/>
      <c r="L78" s="267"/>
      <c r="M78" s="267"/>
      <c r="N78" s="267"/>
    </row>
    <row r="79" spans="6:14" ht="12" customHeight="1">
      <c r="F79" s="268"/>
      <c r="G79" s="268"/>
      <c r="H79" s="268"/>
      <c r="I79" s="267"/>
      <c r="J79" s="267"/>
      <c r="K79" s="267"/>
      <c r="L79" s="267"/>
      <c r="M79" s="267"/>
      <c r="N79" s="267"/>
    </row>
    <row r="80" spans="6:14" ht="12" customHeight="1">
      <c r="F80" s="268"/>
      <c r="G80" s="268"/>
      <c r="H80" s="268"/>
      <c r="I80" s="267"/>
      <c r="J80" s="267"/>
      <c r="K80" s="267"/>
      <c r="L80" s="267"/>
      <c r="M80" s="267"/>
      <c r="N80" s="267"/>
    </row>
    <row r="81" spans="6:14" ht="12" customHeight="1">
      <c r="F81" s="268"/>
      <c r="G81" s="268"/>
      <c r="H81" s="268"/>
      <c r="I81" s="267"/>
      <c r="J81" s="267"/>
      <c r="K81" s="267"/>
      <c r="L81" s="267"/>
      <c r="M81" s="267"/>
      <c r="N81" s="267"/>
    </row>
    <row r="82" spans="6:14" ht="12" customHeight="1">
      <c r="F82" s="268"/>
      <c r="G82" s="268"/>
      <c r="H82" s="268"/>
      <c r="I82" s="267"/>
      <c r="J82" s="267"/>
      <c r="K82" s="267"/>
      <c r="L82" s="267"/>
      <c r="M82" s="267"/>
      <c r="N82" s="267"/>
    </row>
    <row r="83" spans="6:14" ht="12" customHeight="1">
      <c r="F83" s="268"/>
      <c r="G83" s="268"/>
      <c r="H83" s="268"/>
      <c r="I83" s="267"/>
      <c r="J83" s="267"/>
      <c r="K83" s="267"/>
      <c r="L83" s="267"/>
      <c r="M83" s="267"/>
      <c r="N83" s="267"/>
    </row>
    <row r="84" spans="6:14" ht="12" customHeight="1">
      <c r="F84" s="268"/>
      <c r="G84" s="268"/>
      <c r="H84" s="268"/>
      <c r="I84" s="267"/>
      <c r="J84" s="267"/>
      <c r="K84" s="267"/>
      <c r="L84" s="267"/>
      <c r="M84" s="267"/>
      <c r="N84" s="267"/>
    </row>
    <row r="85" spans="6:14" ht="12" customHeight="1">
      <c r="F85" s="268"/>
      <c r="G85" s="268"/>
      <c r="H85" s="268"/>
      <c r="I85" s="267"/>
      <c r="J85" s="267"/>
      <c r="K85" s="267"/>
      <c r="L85" s="267"/>
      <c r="M85" s="267"/>
      <c r="N85" s="267"/>
    </row>
    <row r="86" spans="6:14" ht="12" customHeight="1">
      <c r="F86" s="268"/>
      <c r="G86" s="268"/>
      <c r="H86" s="268"/>
      <c r="I86" s="267"/>
      <c r="J86" s="267"/>
      <c r="K86" s="267"/>
      <c r="L86" s="267"/>
      <c r="M86" s="267"/>
      <c r="N86" s="267"/>
    </row>
    <row r="87" spans="6:14" ht="12" customHeight="1">
      <c r="F87" s="268"/>
      <c r="G87" s="268"/>
      <c r="H87" s="268"/>
      <c r="I87" s="267"/>
      <c r="J87" s="267"/>
      <c r="K87" s="267"/>
      <c r="L87" s="267"/>
      <c r="M87" s="267"/>
      <c r="N87" s="267"/>
    </row>
    <row r="88" spans="6:14" ht="12" customHeight="1">
      <c r="F88" s="268"/>
      <c r="G88" s="268"/>
      <c r="H88" s="268"/>
      <c r="I88" s="267"/>
      <c r="J88" s="267"/>
      <c r="K88" s="267"/>
      <c r="L88" s="267"/>
      <c r="M88" s="267"/>
      <c r="N88" s="267"/>
    </row>
    <row r="89" spans="6:14" ht="12" customHeight="1">
      <c r="F89" s="268"/>
      <c r="G89" s="268"/>
      <c r="H89" s="268"/>
      <c r="I89" s="267"/>
      <c r="J89" s="267"/>
      <c r="K89" s="267"/>
      <c r="L89" s="267"/>
      <c r="M89" s="267"/>
      <c r="N89" s="267"/>
    </row>
    <row r="90" spans="6:14" ht="12" customHeight="1">
      <c r="F90" s="268"/>
      <c r="G90" s="268"/>
      <c r="H90" s="268"/>
      <c r="I90" s="267"/>
      <c r="J90" s="267"/>
      <c r="K90" s="267"/>
      <c r="L90" s="267"/>
      <c r="M90" s="267"/>
      <c r="N90" s="267"/>
    </row>
    <row r="91" spans="6:14" ht="12" customHeight="1">
      <c r="F91" s="268"/>
      <c r="G91" s="268"/>
      <c r="H91" s="268"/>
      <c r="I91" s="267"/>
      <c r="J91" s="267"/>
      <c r="K91" s="267"/>
      <c r="L91" s="267"/>
      <c r="M91" s="267"/>
      <c r="N91" s="267"/>
    </row>
    <row r="92" spans="6:14" ht="12" customHeight="1">
      <c r="F92" s="268"/>
      <c r="G92" s="268"/>
      <c r="H92" s="268"/>
      <c r="I92" s="267"/>
      <c r="J92" s="267"/>
      <c r="K92" s="267"/>
      <c r="L92" s="267"/>
      <c r="M92" s="267"/>
      <c r="N92" s="267"/>
    </row>
    <row r="93" spans="6:14" ht="12" customHeight="1">
      <c r="F93" s="268"/>
      <c r="G93" s="268"/>
      <c r="H93" s="268"/>
      <c r="I93" s="267"/>
      <c r="J93" s="267"/>
      <c r="K93" s="267"/>
      <c r="L93" s="267"/>
      <c r="M93" s="267"/>
      <c r="N93" s="267"/>
    </row>
    <row r="94" spans="6:14" ht="12" customHeight="1">
      <c r="F94" s="268"/>
      <c r="G94" s="268"/>
      <c r="H94" s="268"/>
      <c r="I94" s="267"/>
      <c r="J94" s="267"/>
      <c r="K94" s="267"/>
      <c r="L94" s="267"/>
      <c r="M94" s="267"/>
      <c r="N94" s="267"/>
    </row>
    <row r="95" spans="6:14" ht="12" customHeight="1">
      <c r="F95" s="268"/>
      <c r="G95" s="268"/>
      <c r="H95" s="268"/>
      <c r="I95" s="267"/>
      <c r="J95" s="267"/>
      <c r="K95" s="267"/>
      <c r="L95" s="267"/>
      <c r="M95" s="267"/>
      <c r="N95" s="267"/>
    </row>
    <row r="96" spans="6:14" ht="12" customHeight="1">
      <c r="F96" s="268"/>
      <c r="G96" s="268"/>
      <c r="H96" s="268"/>
      <c r="I96" s="267"/>
      <c r="J96" s="267"/>
      <c r="K96" s="267"/>
      <c r="L96" s="267"/>
      <c r="M96" s="267"/>
      <c r="N96" s="267"/>
    </row>
    <row r="97" spans="6:14" ht="12" customHeight="1">
      <c r="F97" s="268"/>
      <c r="G97" s="268"/>
      <c r="H97" s="268"/>
      <c r="I97" s="267"/>
      <c r="J97" s="267"/>
      <c r="K97" s="267"/>
      <c r="L97" s="267"/>
      <c r="M97" s="267"/>
      <c r="N97" s="267"/>
    </row>
    <row r="98" spans="6:14" ht="15">
      <c r="F98" s="268"/>
      <c r="G98" s="268"/>
      <c r="H98" s="268"/>
      <c r="I98" s="267"/>
      <c r="J98" s="267"/>
      <c r="K98" s="267"/>
      <c r="L98" s="267"/>
      <c r="M98" s="267"/>
      <c r="N98" s="267"/>
    </row>
    <row r="99" spans="6:14" ht="15">
      <c r="F99" s="268"/>
      <c r="G99" s="268"/>
      <c r="H99" s="268"/>
      <c r="I99" s="267"/>
      <c r="J99" s="267"/>
      <c r="K99" s="267"/>
      <c r="L99" s="267"/>
      <c r="M99" s="267"/>
      <c r="N99" s="267"/>
    </row>
    <row r="100" spans="6:14" ht="15">
      <c r="F100" s="268"/>
      <c r="G100" s="268"/>
      <c r="H100" s="268"/>
      <c r="I100" s="267"/>
      <c r="J100" s="267"/>
      <c r="K100" s="267"/>
      <c r="L100" s="267"/>
      <c r="M100" s="267"/>
      <c r="N100" s="267"/>
    </row>
    <row r="101" spans="6:14" ht="15">
      <c r="F101" s="268"/>
      <c r="G101" s="268"/>
      <c r="H101" s="268"/>
      <c r="I101" s="267"/>
      <c r="J101" s="267"/>
      <c r="K101" s="267"/>
      <c r="L101" s="267"/>
      <c r="M101" s="267"/>
      <c r="N101" s="267"/>
    </row>
    <row r="102" spans="6:14">
      <c r="M102" s="63"/>
      <c r="N102" s="63"/>
    </row>
    <row r="103" spans="6:14">
      <c r="M103" s="63"/>
      <c r="N103" s="63"/>
    </row>
    <row r="104" spans="6:14">
      <c r="M104" s="63"/>
      <c r="N104" s="63"/>
    </row>
    <row r="105" spans="6:14">
      <c r="M105" s="63"/>
      <c r="N105" s="63"/>
    </row>
    <row r="106" spans="6:14">
      <c r="M106" s="63"/>
      <c r="N106" s="63"/>
    </row>
    <row r="107" spans="6:14">
      <c r="M107" s="63"/>
      <c r="N107" s="63"/>
    </row>
    <row r="108" spans="6:14">
      <c r="M108" s="63"/>
      <c r="N108" s="63"/>
    </row>
    <row r="109" spans="6:14">
      <c r="M109" s="63"/>
      <c r="N109" s="63"/>
    </row>
    <row r="110" spans="6:14">
      <c r="M110" s="63"/>
      <c r="N110" s="63"/>
    </row>
    <row r="111" spans="6:14">
      <c r="M111" s="63"/>
      <c r="N111" s="63"/>
    </row>
    <row r="112" spans="6:14">
      <c r="M112" s="63"/>
      <c r="N112" s="63"/>
    </row>
    <row r="113" spans="13:14">
      <c r="M113" s="63"/>
      <c r="N113" s="63"/>
    </row>
    <row r="114" spans="13:14">
      <c r="M114" s="63"/>
      <c r="N114" s="63"/>
    </row>
    <row r="115" spans="13:14">
      <c r="M115" s="63"/>
      <c r="N115" s="63"/>
    </row>
    <row r="116" spans="13:14">
      <c r="M116" s="63"/>
      <c r="N116" s="63"/>
    </row>
    <row r="117" spans="13:14">
      <c r="M117" s="63"/>
      <c r="N117" s="63"/>
    </row>
    <row r="118" spans="13:14">
      <c r="M118" s="63"/>
      <c r="N118" s="63"/>
    </row>
    <row r="119" spans="13:14">
      <c r="M119" s="63"/>
      <c r="N119" s="63"/>
    </row>
    <row r="120" spans="13:14">
      <c r="M120" s="63"/>
      <c r="N120" s="63"/>
    </row>
    <row r="121" spans="13:14">
      <c r="M121" s="63"/>
      <c r="N121" s="63"/>
    </row>
    <row r="122" spans="13:14">
      <c r="M122" s="63"/>
      <c r="N122" s="63"/>
    </row>
    <row r="123" spans="13:14">
      <c r="M123" s="63"/>
      <c r="N123" s="63"/>
    </row>
    <row r="124" spans="13:14">
      <c r="M124" s="63"/>
      <c r="N124" s="63"/>
    </row>
    <row r="125" spans="13:14">
      <c r="M125" s="63"/>
      <c r="N125" s="63"/>
    </row>
    <row r="126" spans="13:14">
      <c r="M126" s="63"/>
      <c r="N126" s="63"/>
    </row>
    <row r="127" spans="13:14">
      <c r="M127" s="63"/>
      <c r="N127" s="63"/>
    </row>
    <row r="128" spans="13:14">
      <c r="M128" s="63"/>
      <c r="N128" s="63"/>
    </row>
    <row r="129" spans="14:14">
      <c r="N129" s="63"/>
    </row>
    <row r="130" spans="14:14">
      <c r="N130" s="63"/>
    </row>
  </sheetData>
  <mergeCells count="1">
    <mergeCell ref="F25:H25"/>
  </mergeCells>
  <pageMargins left="0.7" right="0.7" top="0.75" bottom="0.75" header="0.3" footer="0.3"/>
  <pageSetup paperSize="11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8"/>
  <sheetViews>
    <sheetView workbookViewId="0"/>
  </sheetViews>
  <sheetFormatPr defaultRowHeight="12"/>
  <cols>
    <col min="1" max="1" width="2" style="144" customWidth="1"/>
    <col min="2" max="2" width="23.85546875" style="144" customWidth="1"/>
    <col min="3" max="3" width="14.140625" style="144" customWidth="1"/>
    <col min="4" max="5" width="12.7109375" style="144" bestFit="1" customWidth="1"/>
    <col min="6" max="6" width="6.42578125" style="144" customWidth="1"/>
    <col min="7" max="7" width="26.140625" style="144" customWidth="1"/>
    <col min="8" max="8" width="14.85546875" style="144" customWidth="1" collapsed="1"/>
    <col min="9" max="9" width="14.85546875" style="144" customWidth="1"/>
    <col min="10" max="14" width="13.7109375" style="144" bestFit="1" customWidth="1"/>
    <col min="15" max="15" width="8.7109375" style="144" customWidth="1"/>
    <col min="16" max="16" width="6.7109375" style="144" customWidth="1"/>
    <col min="17" max="17" width="8.28515625" style="144" customWidth="1"/>
    <col min="18" max="29" width="9.140625" style="144" customWidth="1"/>
    <col min="30" max="30" width="9.28515625" style="144" customWidth="1"/>
    <col min="31" max="31" width="9.42578125" style="144" customWidth="1"/>
    <col min="32" max="32" width="10" style="144" customWidth="1"/>
    <col min="33" max="33" width="11.42578125" style="144" customWidth="1"/>
    <col min="34" max="34" width="9.42578125" style="144" bestFit="1" customWidth="1" collapsed="1"/>
    <col min="35" max="16384" width="9.140625" style="144"/>
  </cols>
  <sheetData>
    <row r="1" spans="1:33" s="143" customFormat="1" ht="15" customHeight="1">
      <c r="B1" s="16" t="s">
        <v>123</v>
      </c>
      <c r="C1" s="16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33" ht="12" customHeight="1">
      <c r="D2" s="156"/>
    </row>
    <row r="3" spans="1:33" ht="12" customHeight="1">
      <c r="A3" s="145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66"/>
    </row>
    <row r="4" spans="1:33" ht="12" customHeight="1">
      <c r="A4" s="149"/>
      <c r="B4" s="297" t="s">
        <v>140</v>
      </c>
      <c r="C4" s="297"/>
      <c r="D4" s="297"/>
      <c r="E4" s="297"/>
      <c r="F4" s="140"/>
      <c r="G4" s="299" t="s">
        <v>125</v>
      </c>
      <c r="H4" s="299"/>
      <c r="I4" s="162"/>
      <c r="J4" s="162"/>
      <c r="K4" s="162"/>
      <c r="L4" s="162"/>
      <c r="O4" s="65"/>
      <c r="P4" s="147"/>
      <c r="R4" s="147"/>
      <c r="S4" s="147"/>
      <c r="T4" s="147"/>
      <c r="U4" s="147"/>
      <c r="V4" s="147"/>
      <c r="W4" s="147"/>
      <c r="AB4" s="147"/>
    </row>
    <row r="5" spans="1:33" ht="12" customHeight="1">
      <c r="A5" s="149"/>
      <c r="B5" s="48" t="s">
        <v>173</v>
      </c>
      <c r="C5" s="48" t="s">
        <v>84</v>
      </c>
      <c r="D5" s="129" t="s">
        <v>117</v>
      </c>
      <c r="E5" s="130" t="s">
        <v>124</v>
      </c>
      <c r="F5" s="216"/>
      <c r="G5" s="109" t="s">
        <v>93</v>
      </c>
      <c r="H5" s="91">
        <f>'Risk Free Rate'!C3</f>
        <v>5.5759999999999997E-2</v>
      </c>
      <c r="L5" s="157"/>
      <c r="O5" s="170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</row>
    <row r="6" spans="1:33" ht="12" customHeight="1">
      <c r="A6" s="149"/>
      <c r="B6" s="71" t="s">
        <v>142</v>
      </c>
      <c r="C6" s="71" t="s">
        <v>157</v>
      </c>
      <c r="D6" s="222">
        <v>0.25109999999999999</v>
      </c>
      <c r="E6" s="224">
        <v>0.17499999999999999</v>
      </c>
      <c r="F6" s="171"/>
      <c r="G6" s="109" t="s">
        <v>6</v>
      </c>
      <c r="H6" s="91">
        <f>'Equity Risk Premium'!F28</f>
        <v>3.9368554664685217E-2</v>
      </c>
      <c r="L6" s="157"/>
      <c r="O6" s="170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</row>
    <row r="7" spans="1:33" ht="12" customHeight="1">
      <c r="B7" s="71" t="s">
        <v>143</v>
      </c>
      <c r="C7" s="211" t="s">
        <v>158</v>
      </c>
      <c r="D7" s="73">
        <v>0.2475</v>
      </c>
      <c r="E7" s="201">
        <v>0.12</v>
      </c>
      <c r="F7" s="171"/>
      <c r="G7" s="109" t="s">
        <v>126</v>
      </c>
      <c r="H7" s="137">
        <v>1.25</v>
      </c>
      <c r="I7" s="150" t="s">
        <v>101</v>
      </c>
      <c r="L7" s="157"/>
      <c r="O7" s="170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</row>
    <row r="8" spans="1:33" ht="12" customHeight="1">
      <c r="A8" s="149"/>
      <c r="B8" s="71" t="s">
        <v>144</v>
      </c>
      <c r="C8" s="211" t="s">
        <v>159</v>
      </c>
      <c r="D8" s="73">
        <v>0.20860000000000001</v>
      </c>
      <c r="E8" s="201">
        <v>0.23</v>
      </c>
      <c r="F8" s="171"/>
      <c r="G8" s="18"/>
      <c r="H8" s="18"/>
      <c r="O8" s="170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</row>
    <row r="9" spans="1:33" ht="12" customHeight="1">
      <c r="A9" s="149"/>
      <c r="B9" s="71" t="s">
        <v>145</v>
      </c>
      <c r="C9" s="211" t="s">
        <v>160</v>
      </c>
      <c r="D9" s="73">
        <v>0.16489999999999999</v>
      </c>
      <c r="E9" s="201">
        <v>0.20200000000000001</v>
      </c>
      <c r="F9" s="171"/>
      <c r="G9" s="109" t="s">
        <v>4</v>
      </c>
      <c r="H9" s="53">
        <f>H5+H7*H6</f>
        <v>0.10497069333085651</v>
      </c>
      <c r="L9" s="175"/>
      <c r="O9" s="170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</row>
    <row r="10" spans="1:33">
      <c r="A10" s="146"/>
      <c r="B10" s="181"/>
      <c r="C10" s="181"/>
      <c r="D10" s="223">
        <f>AVERAGE(D6:D9)</f>
        <v>0.21802500000000002</v>
      </c>
      <c r="E10" s="245">
        <f>AVERAGE(E6:E9)</f>
        <v>0.18175000000000002</v>
      </c>
      <c r="F10" s="171"/>
      <c r="L10" s="148"/>
      <c r="O10" s="170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</row>
    <row r="11" spans="1:33">
      <c r="A11" s="149"/>
      <c r="B11" s="181"/>
      <c r="C11" s="181"/>
      <c r="D11" s="174"/>
      <c r="E11" s="75"/>
      <c r="F11" s="171"/>
      <c r="G11" s="22"/>
      <c r="H11" s="82"/>
      <c r="K11" s="151"/>
      <c r="L11" s="148"/>
      <c r="O11" s="170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</row>
    <row r="12" spans="1:33">
      <c r="B12" s="181"/>
      <c r="C12" s="181"/>
      <c r="D12" s="174"/>
      <c r="E12" s="180"/>
      <c r="F12" s="171"/>
      <c r="G12" s="22"/>
      <c r="H12" s="176"/>
      <c r="K12" s="158"/>
      <c r="L12" s="148"/>
      <c r="O12" s="170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</row>
    <row r="13" spans="1:33">
      <c r="A13" s="149"/>
      <c r="B13" s="181"/>
      <c r="C13" s="181"/>
      <c r="D13" s="174"/>
      <c r="E13" s="180"/>
      <c r="F13" s="171"/>
      <c r="G13" s="22"/>
      <c r="H13" s="75"/>
      <c r="I13" s="150"/>
      <c r="K13" s="158"/>
      <c r="L13" s="148"/>
      <c r="O13" s="169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</row>
    <row r="14" spans="1:33">
      <c r="B14" s="181"/>
      <c r="C14" s="181"/>
      <c r="D14" s="174"/>
      <c r="E14" s="180"/>
      <c r="F14" s="171"/>
      <c r="G14" s="22"/>
      <c r="H14" s="75"/>
      <c r="I14" s="150"/>
      <c r="K14" s="158"/>
      <c r="L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</row>
    <row r="15" spans="1:33">
      <c r="B15" s="181"/>
      <c r="C15" s="181"/>
      <c r="D15" s="174"/>
      <c r="E15" s="180"/>
      <c r="F15" s="171"/>
      <c r="G15" s="3"/>
      <c r="H15" s="3"/>
      <c r="K15" s="158"/>
      <c r="L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</row>
    <row r="16" spans="1:33">
      <c r="B16" s="181"/>
      <c r="C16" s="181"/>
      <c r="D16" s="174"/>
      <c r="E16" s="180"/>
      <c r="F16" s="171"/>
      <c r="G16" s="22"/>
      <c r="H16" s="56"/>
      <c r="K16" s="158"/>
      <c r="L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</row>
    <row r="17" spans="1:35">
      <c r="B17" s="181"/>
      <c r="C17" s="181"/>
      <c r="D17" s="174"/>
      <c r="E17" s="180"/>
      <c r="F17" s="171"/>
      <c r="K17" s="158"/>
      <c r="L17" s="148"/>
      <c r="O17" s="65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</row>
    <row r="18" spans="1:35">
      <c r="A18" s="149"/>
      <c r="F18" s="171"/>
      <c r="G18" s="146"/>
      <c r="H18" s="19"/>
      <c r="K18" s="158"/>
      <c r="L18" s="148"/>
      <c r="O18" s="171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</row>
    <row r="19" spans="1:35">
      <c r="F19" s="2"/>
      <c r="G19" s="146"/>
      <c r="H19" s="178"/>
      <c r="K19" s="158"/>
      <c r="L19" s="148"/>
      <c r="O19" s="171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</row>
    <row r="20" spans="1:35">
      <c r="A20" s="149"/>
      <c r="F20" s="174"/>
      <c r="G20" s="146"/>
      <c r="H20" s="75"/>
      <c r="K20" s="160"/>
      <c r="L20" s="148"/>
      <c r="O20" s="171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</row>
    <row r="21" spans="1:35">
      <c r="F21" s="174"/>
      <c r="G21" s="174"/>
      <c r="H21" s="117"/>
      <c r="I21" s="118"/>
      <c r="J21" s="118"/>
      <c r="K21" s="172"/>
      <c r="L21" s="173"/>
      <c r="M21" s="173"/>
      <c r="N21" s="173"/>
      <c r="O21" s="173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</row>
    <row r="22" spans="1:35">
      <c r="F22" s="174"/>
      <c r="G22" s="174"/>
      <c r="H22" s="117"/>
      <c r="I22" s="118"/>
      <c r="J22" s="118"/>
      <c r="K22" s="167"/>
      <c r="L22" s="168"/>
      <c r="M22" s="168"/>
      <c r="N22" s="168"/>
      <c r="O22" s="16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</row>
    <row r="23" spans="1:35">
      <c r="F23" s="174"/>
      <c r="G23" s="174"/>
      <c r="H23" s="117"/>
      <c r="I23" s="118"/>
      <c r="J23" s="118"/>
      <c r="K23" s="117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</row>
    <row r="24" spans="1:35">
      <c r="F24" s="174"/>
      <c r="G24" s="174"/>
      <c r="H24" s="117"/>
      <c r="I24" s="118"/>
      <c r="J24" s="118"/>
      <c r="K24" s="117"/>
      <c r="L24" s="148"/>
      <c r="M24" s="148"/>
      <c r="N24" s="148"/>
      <c r="O24" s="205"/>
      <c r="P24" s="79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</row>
    <row r="25" spans="1:35">
      <c r="F25" s="174"/>
      <c r="G25" s="174"/>
      <c r="H25" s="117"/>
      <c r="I25" s="118"/>
      <c r="J25" s="118"/>
      <c r="K25" s="117"/>
      <c r="L25" s="148"/>
      <c r="M25" s="148"/>
      <c r="N25" s="148"/>
      <c r="O25" s="206"/>
      <c r="P25" s="152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</row>
    <row r="26" spans="1:35">
      <c r="F26" s="174"/>
      <c r="G26" s="174"/>
      <c r="H26" s="117"/>
      <c r="I26" s="118"/>
      <c r="J26" s="118"/>
      <c r="K26" s="117"/>
      <c r="L26" s="148"/>
      <c r="M26" s="148"/>
      <c r="N26" s="148"/>
      <c r="O26" s="207"/>
      <c r="P26" s="152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</row>
    <row r="27" spans="1:35">
      <c r="F27" s="174"/>
      <c r="G27" s="174"/>
      <c r="H27" s="117"/>
      <c r="I27" s="118"/>
      <c r="J27" s="118"/>
      <c r="K27" s="117"/>
      <c r="L27" s="148"/>
      <c r="M27" s="148"/>
      <c r="N27" s="148"/>
      <c r="O27" s="207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</row>
    <row r="28" spans="1:35">
      <c r="F28" s="174"/>
      <c r="G28" s="174"/>
      <c r="H28" s="117"/>
      <c r="I28" s="118"/>
      <c r="J28" s="118"/>
      <c r="K28" s="161"/>
      <c r="L28" s="148"/>
      <c r="M28" s="148"/>
      <c r="N28" s="148"/>
      <c r="O28" s="20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</row>
    <row r="29" spans="1:35">
      <c r="F29" s="174"/>
      <c r="L29" s="148"/>
      <c r="M29" s="148"/>
      <c r="N29" s="148"/>
      <c r="O29" s="20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</row>
    <row r="30" spans="1:35" ht="14.25" customHeight="1">
      <c r="K30" s="125"/>
      <c r="L30" s="148"/>
      <c r="M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</row>
    <row r="31" spans="1:35">
      <c r="H31" s="148"/>
      <c r="I31" s="148"/>
      <c r="J31" s="148"/>
      <c r="K31" s="148"/>
      <c r="L31" s="148"/>
      <c r="M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</row>
    <row r="32" spans="1:35"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</row>
    <row r="33" spans="8:35"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</row>
    <row r="34" spans="8:35"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</row>
    <row r="35" spans="8:35"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</row>
    <row r="36" spans="8:35"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</row>
    <row r="37" spans="8:35"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</row>
    <row r="38" spans="8:35"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</row>
  </sheetData>
  <mergeCells count="2">
    <mergeCell ref="B4:E4"/>
    <mergeCell ref="G4:H4"/>
  </mergeCells>
  <pageMargins left="0.7" right="0.7" top="0.75" bottom="0.75" header="0.3" footer="0.3"/>
  <pageSetup paperSize="1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8"/>
  <sheetViews>
    <sheetView zoomScaleNormal="100" workbookViewId="0"/>
  </sheetViews>
  <sheetFormatPr defaultRowHeight="12"/>
  <cols>
    <col min="1" max="1" width="2" style="144" customWidth="1"/>
    <col min="2" max="2" width="9" style="144" customWidth="1"/>
    <col min="3" max="3" width="14.85546875" style="144" customWidth="1"/>
    <col min="4" max="4" width="15.85546875" style="144" customWidth="1"/>
    <col min="5" max="5" width="15.140625" style="144" customWidth="1"/>
    <col min="6" max="7" width="15.42578125" style="144" customWidth="1"/>
    <col min="8" max="8" width="12.7109375" style="144" bestFit="1" customWidth="1" collapsed="1"/>
    <col min="9" max="11" width="13.7109375" style="144" bestFit="1" customWidth="1"/>
    <col min="12" max="12" width="10.85546875" style="144" customWidth="1"/>
    <col min="13" max="14" width="13.7109375" style="144" bestFit="1" customWidth="1"/>
    <col min="15" max="15" width="8.7109375" style="144" customWidth="1"/>
    <col min="16" max="16" width="6.7109375" style="144" customWidth="1"/>
    <col min="17" max="17" width="8.28515625" style="144" customWidth="1"/>
    <col min="18" max="29" width="9.140625" style="144" customWidth="1"/>
    <col min="30" max="30" width="9.28515625" style="144" customWidth="1"/>
    <col min="31" max="31" width="9.42578125" style="144" customWidth="1"/>
    <col min="32" max="32" width="10" style="144" customWidth="1"/>
    <col min="33" max="33" width="11.42578125" style="144" customWidth="1"/>
    <col min="34" max="34" width="9.42578125" style="144" bestFit="1" customWidth="1" collapsed="1"/>
    <col min="35" max="16384" width="9.140625" style="144"/>
  </cols>
  <sheetData>
    <row r="1" spans="1:33" s="143" customFormat="1" ht="15" customHeight="1">
      <c r="B1" s="16" t="s">
        <v>172</v>
      </c>
      <c r="C1" s="16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33" ht="12" customHeight="1">
      <c r="D2" s="156"/>
      <c r="F2" s="244"/>
    </row>
    <row r="3" spans="1:33" ht="12" customHeight="1">
      <c r="A3" s="145"/>
      <c r="B3" s="198"/>
      <c r="C3" s="228" t="s">
        <v>131</v>
      </c>
      <c r="D3" s="164" t="s">
        <v>122</v>
      </c>
      <c r="E3" s="228" t="s">
        <v>129</v>
      </c>
      <c r="F3" s="228" t="s">
        <v>117</v>
      </c>
      <c r="G3" s="229" t="s">
        <v>130</v>
      </c>
      <c r="H3" s="140"/>
      <c r="I3" s="140"/>
      <c r="J3" s="140"/>
      <c r="K3" s="140"/>
      <c r="L3" s="140"/>
      <c r="M3" s="140"/>
      <c r="N3" s="140"/>
      <c r="O3" s="166"/>
    </row>
    <row r="4" spans="1:33" ht="12" customHeight="1">
      <c r="A4" s="149"/>
      <c r="B4" s="202" t="s">
        <v>128</v>
      </c>
      <c r="C4" s="234">
        <f>F4/E4</f>
        <v>682251.97718631173</v>
      </c>
      <c r="D4" s="235"/>
      <c r="E4" s="236">
        <v>0.26300000000000001</v>
      </c>
      <c r="F4" s="234">
        <v>179432.27</v>
      </c>
      <c r="G4" s="237"/>
      <c r="H4" s="218"/>
      <c r="I4" s="219"/>
      <c r="J4" s="64"/>
      <c r="K4" s="64"/>
      <c r="L4" s="64"/>
      <c r="M4" s="64"/>
      <c r="N4" s="204"/>
      <c r="O4" s="65"/>
      <c r="P4" s="147"/>
      <c r="R4" s="147"/>
      <c r="S4" s="147"/>
      <c r="T4" s="147"/>
      <c r="U4" s="147"/>
      <c r="V4" s="147"/>
      <c r="W4" s="147"/>
      <c r="AB4" s="147"/>
    </row>
    <row r="5" spans="1:33" ht="12" customHeight="1">
      <c r="A5" s="149"/>
      <c r="B5" s="230">
        <v>1</v>
      </c>
      <c r="C5" s="177">
        <f t="shared" ref="C5:C15" si="0">C4*(1+D5)</f>
        <v>750477.17490494298</v>
      </c>
      <c r="D5" s="159">
        <v>0.1</v>
      </c>
      <c r="E5" s="159">
        <f>AVERAGE(E4,E6)</f>
        <v>0.259486328125</v>
      </c>
      <c r="F5" s="177">
        <f t="shared" ref="F5:F15" si="1">C5*E5</f>
        <v>194738.56645770706</v>
      </c>
      <c r="G5" s="200">
        <f t="shared" ref="G5:G14" si="2">F5-F4</f>
        <v>15306.296457707067</v>
      </c>
      <c r="H5" s="74"/>
      <c r="I5" s="220"/>
      <c r="J5" s="220"/>
      <c r="K5" s="220"/>
      <c r="L5" s="220"/>
      <c r="M5" s="220"/>
      <c r="N5" s="220"/>
      <c r="O5" s="170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</row>
    <row r="6" spans="1:33" ht="12" customHeight="1">
      <c r="A6" s="149"/>
      <c r="B6" s="230">
        <v>2</v>
      </c>
      <c r="C6" s="177">
        <f t="shared" si="0"/>
        <v>825524.89239543735</v>
      </c>
      <c r="D6" s="159">
        <v>0.1</v>
      </c>
      <c r="E6" s="159">
        <f>AVERAGE(E4,E8)</f>
        <v>0.25597265624999999</v>
      </c>
      <c r="F6" s="177">
        <f t="shared" si="1"/>
        <v>211311.79950695552</v>
      </c>
      <c r="G6" s="200">
        <f t="shared" si="2"/>
        <v>16573.233049248462</v>
      </c>
      <c r="H6" s="74"/>
      <c r="I6" s="158"/>
      <c r="J6" s="158"/>
      <c r="K6" s="158"/>
      <c r="L6" s="158"/>
      <c r="M6" s="158"/>
      <c r="N6" s="158"/>
      <c r="O6" s="170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</row>
    <row r="7" spans="1:33" ht="12" customHeight="1">
      <c r="B7" s="179">
        <v>3</v>
      </c>
      <c r="C7" s="177">
        <f t="shared" si="0"/>
        <v>908077.38163498114</v>
      </c>
      <c r="D7" s="159">
        <v>0.1</v>
      </c>
      <c r="E7" s="159">
        <f>AVERAGE(E4,E10)</f>
        <v>0.25175625000000001</v>
      </c>
      <c r="F7" s="177">
        <f t="shared" si="1"/>
        <v>228614.15631024173</v>
      </c>
      <c r="G7" s="200">
        <f t="shared" si="2"/>
        <v>17302.356803286209</v>
      </c>
      <c r="H7" s="74"/>
      <c r="I7" s="158"/>
      <c r="J7" s="158"/>
      <c r="K7" s="158"/>
      <c r="L7" s="158"/>
      <c r="M7" s="158"/>
      <c r="N7" s="158"/>
      <c r="O7" s="170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</row>
    <row r="8" spans="1:33" ht="12" customHeight="1">
      <c r="A8" s="149"/>
      <c r="B8" s="129">
        <v>4</v>
      </c>
      <c r="C8" s="177">
        <f t="shared" si="0"/>
        <v>980723.57216577965</v>
      </c>
      <c r="D8" s="159">
        <v>0.08</v>
      </c>
      <c r="E8" s="159">
        <f>AVERAGE(E7,E9)</f>
        <v>0.24894531250000002</v>
      </c>
      <c r="F8" s="177">
        <f t="shared" si="1"/>
        <v>244146.53614892633</v>
      </c>
      <c r="G8" s="200">
        <f t="shared" si="2"/>
        <v>15532.379838684603</v>
      </c>
      <c r="H8" s="74"/>
      <c r="I8" s="220"/>
      <c r="J8" s="220"/>
      <c r="K8" s="220"/>
      <c r="L8" s="220"/>
      <c r="M8" s="220"/>
      <c r="N8" s="220"/>
      <c r="O8" s="170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</row>
    <row r="9" spans="1:33" ht="12" customHeight="1">
      <c r="A9" s="149"/>
      <c r="B9" s="231">
        <v>5</v>
      </c>
      <c r="C9" s="177">
        <f t="shared" si="0"/>
        <v>1059181.457939042</v>
      </c>
      <c r="D9" s="159">
        <v>0.08</v>
      </c>
      <c r="E9" s="159">
        <f>AVERAGE(E7,E10)</f>
        <v>0.24613437500000002</v>
      </c>
      <c r="F9" s="177">
        <f t="shared" si="1"/>
        <v>260700.96616141492</v>
      </c>
      <c r="G9" s="200">
        <f t="shared" si="2"/>
        <v>16554.430012488592</v>
      </c>
      <c r="H9" s="74"/>
      <c r="I9" s="221"/>
      <c r="J9" s="221"/>
      <c r="K9" s="221"/>
      <c r="L9" s="221"/>
      <c r="M9" s="221"/>
      <c r="N9" s="221"/>
      <c r="O9" s="170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</row>
    <row r="10" spans="1:33">
      <c r="A10" s="146"/>
      <c r="B10" s="232">
        <v>6</v>
      </c>
      <c r="C10" s="177">
        <f t="shared" si="0"/>
        <v>1122732.3454153845</v>
      </c>
      <c r="D10" s="159">
        <v>0.06</v>
      </c>
      <c r="E10" s="159">
        <f>AVERAGE(E4,E14)</f>
        <v>0.24051250000000002</v>
      </c>
      <c r="F10" s="177">
        <f t="shared" si="1"/>
        <v>270031.16322671768</v>
      </c>
      <c r="G10" s="200">
        <f t="shared" si="2"/>
        <v>9330.1970653027529</v>
      </c>
      <c r="H10" s="74"/>
      <c r="I10" s="220"/>
      <c r="J10" s="220"/>
      <c r="K10" s="220"/>
      <c r="L10" s="220"/>
      <c r="M10" s="220"/>
      <c r="N10" s="220"/>
      <c r="O10" s="170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</row>
    <row r="11" spans="1:33">
      <c r="A11" s="149"/>
      <c r="B11" s="230">
        <v>7</v>
      </c>
      <c r="C11" s="177">
        <f t="shared" si="0"/>
        <v>1190096.2861403076</v>
      </c>
      <c r="D11" s="159">
        <v>0.06</v>
      </c>
      <c r="E11" s="159">
        <f>AVERAGE(E10,E12)</f>
        <v>0.23489062500000002</v>
      </c>
      <c r="F11" s="177">
        <f t="shared" si="1"/>
        <v>279542.46046167571</v>
      </c>
      <c r="G11" s="200">
        <f t="shared" si="2"/>
        <v>9511.2972349580377</v>
      </c>
      <c r="H11" s="74"/>
      <c r="O11" s="170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</row>
    <row r="12" spans="1:33">
      <c r="B12" s="230">
        <v>8</v>
      </c>
      <c r="C12" s="177">
        <f t="shared" si="0"/>
        <v>1256456.0550554912</v>
      </c>
      <c r="D12" s="159">
        <f>'Risk Free Rate'!$C$3</f>
        <v>5.5759999999999997E-2</v>
      </c>
      <c r="E12" s="159">
        <f>AVERAGE(E10,E14)</f>
        <v>0.22926875000000002</v>
      </c>
      <c r="F12" s="177">
        <f t="shared" si="1"/>
        <v>288066.10917250364</v>
      </c>
      <c r="G12" s="200">
        <f t="shared" si="2"/>
        <v>8523.6487108279252</v>
      </c>
      <c r="H12" s="74"/>
      <c r="I12" s="75"/>
      <c r="J12" s="75"/>
      <c r="K12" s="75"/>
      <c r="L12" s="75"/>
      <c r="M12" s="75"/>
      <c r="N12" s="75"/>
      <c r="O12" s="170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</row>
    <row r="13" spans="1:33">
      <c r="A13" s="149"/>
      <c r="B13" s="230">
        <v>9</v>
      </c>
      <c r="C13" s="177">
        <f t="shared" si="0"/>
        <v>1326516.0446853854</v>
      </c>
      <c r="D13" s="159">
        <f>'Risk Free Rate'!$C$3</f>
        <v>5.5759999999999997E-2</v>
      </c>
      <c r="E13" s="159">
        <f>AVERAGE(E12,E14)</f>
        <v>0.22364687500000002</v>
      </c>
      <c r="F13" s="177">
        <f t="shared" si="1"/>
        <v>296671.16803124687</v>
      </c>
      <c r="G13" s="200">
        <f t="shared" si="2"/>
        <v>8605.0588587432285</v>
      </c>
      <c r="H13" s="74"/>
      <c r="I13" s="157"/>
      <c r="J13" s="157"/>
      <c r="K13" s="157"/>
      <c r="L13" s="157"/>
      <c r="M13" s="157"/>
      <c r="N13" s="157"/>
      <c r="O13" s="169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</row>
    <row r="14" spans="1:33">
      <c r="A14" s="149"/>
      <c r="B14" s="230">
        <v>10</v>
      </c>
      <c r="C14" s="177">
        <f t="shared" si="0"/>
        <v>1400482.5793370425</v>
      </c>
      <c r="D14" s="159">
        <f>'Risk Free Rate'!$C$3</f>
        <v>5.5759999999999997E-2</v>
      </c>
      <c r="E14" s="159">
        <f>'Industry Numbers'!D10</f>
        <v>0.21802500000000002</v>
      </c>
      <c r="F14" s="177">
        <f t="shared" si="1"/>
        <v>305340.21435995871</v>
      </c>
      <c r="G14" s="200">
        <f t="shared" si="2"/>
        <v>8669.0463287118473</v>
      </c>
      <c r="H14" s="74"/>
      <c r="I14" s="227"/>
      <c r="J14" s="227"/>
      <c r="K14" s="227"/>
      <c r="L14" s="227"/>
      <c r="M14" s="227"/>
      <c r="N14" s="227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</row>
    <row r="15" spans="1:33">
      <c r="B15" s="233" t="s">
        <v>111</v>
      </c>
      <c r="C15" s="177">
        <f t="shared" si="0"/>
        <v>1478573.487960876</v>
      </c>
      <c r="D15" s="159">
        <f>'Risk Free Rate'!$C$3</f>
        <v>5.5759999999999997E-2</v>
      </c>
      <c r="E15" s="159">
        <f>'Industry Numbers'!D10</f>
        <v>0.21802500000000002</v>
      </c>
      <c r="F15" s="177">
        <f t="shared" si="1"/>
        <v>322365.98471267003</v>
      </c>
      <c r="G15" s="200">
        <f>F15-F14</f>
        <v>17025.770352711319</v>
      </c>
      <c r="H15" s="218"/>
      <c r="I15" s="157"/>
      <c r="J15" s="157"/>
      <c r="K15" s="157"/>
      <c r="L15" s="157"/>
      <c r="M15" s="157"/>
      <c r="N15" s="157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</row>
    <row r="16" spans="1:33">
      <c r="H16" s="226"/>
      <c r="I16" s="226"/>
      <c r="J16" s="226"/>
      <c r="K16" s="226"/>
      <c r="L16" s="226"/>
      <c r="M16" s="226"/>
      <c r="N16" s="226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</row>
    <row r="17" spans="1:35">
      <c r="B17" s="198"/>
      <c r="C17" s="228" t="s">
        <v>118</v>
      </c>
      <c r="D17" s="228" t="s">
        <v>119</v>
      </c>
      <c r="E17" s="228" t="s">
        <v>120</v>
      </c>
      <c r="F17" s="228" t="s">
        <v>97</v>
      </c>
      <c r="G17" s="72" t="s">
        <v>121</v>
      </c>
      <c r="H17" s="227"/>
      <c r="I17" s="227"/>
      <c r="J17" s="227"/>
      <c r="K17" s="227"/>
      <c r="L17" s="227"/>
      <c r="M17" s="227"/>
      <c r="N17" s="143"/>
      <c r="O17" s="65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</row>
    <row r="18" spans="1:35">
      <c r="A18" s="149"/>
      <c r="B18" s="202" t="s">
        <v>128</v>
      </c>
      <c r="C18" s="234">
        <v>183445.72</v>
      </c>
      <c r="D18" s="238">
        <v>0.2155</v>
      </c>
      <c r="E18" s="239">
        <f>C18*D18</f>
        <v>39532.552660000001</v>
      </c>
      <c r="F18" s="240"/>
      <c r="G18" s="241"/>
      <c r="O18" s="171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</row>
    <row r="19" spans="1:35">
      <c r="B19" s="230">
        <v>1</v>
      </c>
      <c r="C19" s="177">
        <f t="shared" ref="C19:C29" si="3">C18+G5</f>
        <v>198752.01645770707</v>
      </c>
      <c r="D19" s="135">
        <f>AVERAGE(D18,D21)</f>
        <v>0.21128124999999998</v>
      </c>
      <c r="E19" s="184">
        <f>C19*D19</f>
        <v>41992.574477204915</v>
      </c>
      <c r="F19" s="225">
        <f>G5</f>
        <v>15306.296457707067</v>
      </c>
      <c r="G19" s="153">
        <f>E19-F19</f>
        <v>26686.278019497848</v>
      </c>
      <c r="O19" s="171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</row>
    <row r="20" spans="1:35">
      <c r="A20" s="3"/>
      <c r="B20" s="230">
        <v>2</v>
      </c>
      <c r="C20" s="177">
        <f t="shared" si="3"/>
        <v>215325.24950695553</v>
      </c>
      <c r="D20" s="135">
        <f>AVERAGE(D19,D21)</f>
        <v>0.20917187499999998</v>
      </c>
      <c r="E20" s="184">
        <f t="shared" ref="E20:E29" si="4">C20*D20</f>
        <v>45039.98617421271</v>
      </c>
      <c r="F20" s="225">
        <f t="shared" ref="F20:F29" si="5">G6</f>
        <v>16573.233049248462</v>
      </c>
      <c r="G20" s="153">
        <f t="shared" ref="G20:G29" si="6">E20-F20</f>
        <v>28466.753124964249</v>
      </c>
      <c r="O20" s="171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</row>
    <row r="21" spans="1:35">
      <c r="A21" s="3"/>
      <c r="B21" s="179">
        <v>3</v>
      </c>
      <c r="C21" s="177">
        <f t="shared" si="3"/>
        <v>232627.60631024174</v>
      </c>
      <c r="D21" s="135">
        <f>AVERAGE(D18,D23)</f>
        <v>0.20706249999999998</v>
      </c>
      <c r="E21" s="184">
        <f t="shared" si="4"/>
        <v>48168.453731614427</v>
      </c>
      <c r="F21" s="225">
        <f t="shared" si="5"/>
        <v>17302.356803286209</v>
      </c>
      <c r="G21" s="153">
        <f t="shared" si="6"/>
        <v>30866.096928328217</v>
      </c>
      <c r="O21" s="173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</row>
    <row r="22" spans="1:35">
      <c r="A22" s="24"/>
      <c r="B22" s="129">
        <v>4</v>
      </c>
      <c r="C22" s="177">
        <f t="shared" si="3"/>
        <v>248159.98614892634</v>
      </c>
      <c r="D22" s="135">
        <f>AVERAGE(D21,D23)</f>
        <v>0.20284374999999999</v>
      </c>
      <c r="E22" s="184">
        <f t="shared" si="4"/>
        <v>50337.702190396274</v>
      </c>
      <c r="F22" s="225">
        <f t="shared" si="5"/>
        <v>15532.379838684603</v>
      </c>
      <c r="G22" s="153">
        <f t="shared" si="6"/>
        <v>34805.322351711671</v>
      </c>
      <c r="O22" s="16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</row>
    <row r="23" spans="1:35">
      <c r="A23" s="7"/>
      <c r="B23" s="231">
        <v>5</v>
      </c>
      <c r="C23" s="177">
        <f t="shared" si="3"/>
        <v>264714.41616141493</v>
      </c>
      <c r="D23" s="135">
        <f>AVERAGE(D28,D18)</f>
        <v>0.198625</v>
      </c>
      <c r="E23" s="184">
        <f t="shared" si="4"/>
        <v>52578.900910061042</v>
      </c>
      <c r="F23" s="225">
        <f t="shared" si="5"/>
        <v>16554.430012488592</v>
      </c>
      <c r="G23" s="153">
        <f t="shared" si="6"/>
        <v>36024.47089757245</v>
      </c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</row>
    <row r="24" spans="1:35">
      <c r="A24" s="190"/>
      <c r="B24" s="232">
        <v>6</v>
      </c>
      <c r="C24" s="177">
        <f t="shared" si="3"/>
        <v>274044.61322671769</v>
      </c>
      <c r="D24" s="135">
        <f>AVERAGE(D23,D25)</f>
        <v>0.196515625</v>
      </c>
      <c r="E24" s="184">
        <f t="shared" si="4"/>
        <v>53854.048446131696</v>
      </c>
      <c r="F24" s="225">
        <f t="shared" si="5"/>
        <v>9330.1970653027529</v>
      </c>
      <c r="G24" s="153">
        <f t="shared" si="6"/>
        <v>44523.851380828943</v>
      </c>
      <c r="O24" s="205"/>
      <c r="P24" s="79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</row>
    <row r="25" spans="1:35">
      <c r="A25" s="28"/>
      <c r="B25" s="230">
        <v>7</v>
      </c>
      <c r="C25" s="177">
        <f t="shared" si="3"/>
        <v>283555.91046167572</v>
      </c>
      <c r="D25" s="135">
        <f>AVERAGE(D23,D26)</f>
        <v>0.19440625</v>
      </c>
      <c r="E25" s="184">
        <f t="shared" si="4"/>
        <v>55125.041218190148</v>
      </c>
      <c r="F25" s="225">
        <f t="shared" si="5"/>
        <v>9511.2972349580377</v>
      </c>
      <c r="G25" s="153">
        <f t="shared" si="6"/>
        <v>45613.743983232111</v>
      </c>
      <c r="O25" s="206"/>
      <c r="P25" s="152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</row>
    <row r="26" spans="1:35">
      <c r="A26" s="2"/>
      <c r="B26" s="230">
        <v>8</v>
      </c>
      <c r="C26" s="177">
        <f t="shared" si="3"/>
        <v>292079.55917250365</v>
      </c>
      <c r="D26" s="135">
        <f>AVERAGE(D23,D28)</f>
        <v>0.19018750000000001</v>
      </c>
      <c r="E26" s="184">
        <f t="shared" si="4"/>
        <v>55549.881160120538</v>
      </c>
      <c r="F26" s="225">
        <f t="shared" si="5"/>
        <v>8523.6487108279252</v>
      </c>
      <c r="G26" s="153">
        <f t="shared" si="6"/>
        <v>47026.232449292613</v>
      </c>
      <c r="O26" s="207"/>
      <c r="P26" s="152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</row>
    <row r="27" spans="1:35">
      <c r="A27" s="2"/>
      <c r="B27" s="230">
        <v>9</v>
      </c>
      <c r="C27" s="177">
        <f t="shared" si="3"/>
        <v>300684.61803124688</v>
      </c>
      <c r="D27" s="135">
        <f>AVERAGE(D26,D28)</f>
        <v>0.18596875000000002</v>
      </c>
      <c r="E27" s="184">
        <f t="shared" si="4"/>
        <v>55917.94255949845</v>
      </c>
      <c r="F27" s="225">
        <f t="shared" si="5"/>
        <v>8605.0588587432285</v>
      </c>
      <c r="G27" s="153">
        <f t="shared" si="6"/>
        <v>47312.883700755221</v>
      </c>
      <c r="O27" s="207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</row>
    <row r="28" spans="1:35">
      <c r="B28" s="230">
        <v>10</v>
      </c>
      <c r="C28" s="177">
        <f t="shared" si="3"/>
        <v>309353.66435995873</v>
      </c>
      <c r="D28" s="135">
        <f>'Industry Numbers'!E10</f>
        <v>0.18175000000000002</v>
      </c>
      <c r="E28" s="184">
        <f t="shared" si="4"/>
        <v>56225.028497422507</v>
      </c>
      <c r="F28" s="225">
        <f t="shared" si="5"/>
        <v>8669.0463287118473</v>
      </c>
      <c r="G28" s="153">
        <f t="shared" si="6"/>
        <v>47555.98216871066</v>
      </c>
      <c r="O28" s="20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</row>
    <row r="29" spans="1:35">
      <c r="B29" s="233" t="s">
        <v>111</v>
      </c>
      <c r="C29" s="177">
        <f t="shared" si="3"/>
        <v>326379.43471267004</v>
      </c>
      <c r="D29" s="135">
        <f>'Industry Numbers'!E10</f>
        <v>0.18175000000000002</v>
      </c>
      <c r="E29" s="184">
        <f t="shared" si="4"/>
        <v>59319.462259027787</v>
      </c>
      <c r="F29" s="225">
        <f t="shared" si="5"/>
        <v>17025.770352711319</v>
      </c>
      <c r="G29" s="153">
        <f t="shared" si="6"/>
        <v>42293.691906316468</v>
      </c>
      <c r="O29" s="20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</row>
    <row r="30" spans="1:35" ht="12" customHeight="1"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</row>
    <row r="31" spans="1:35">
      <c r="H31" s="148"/>
      <c r="I31" s="148"/>
      <c r="J31" s="148"/>
      <c r="K31" s="148"/>
      <c r="L31" s="148"/>
      <c r="M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</row>
    <row r="32" spans="1:35"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</row>
    <row r="33" spans="8:35"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</row>
    <row r="34" spans="8:35"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</row>
    <row r="35" spans="8:35"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</row>
    <row r="36" spans="8:35"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</row>
    <row r="37" spans="8:35"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</row>
    <row r="38" spans="8:35"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</row>
  </sheetData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4"/>
  <sheetViews>
    <sheetView workbookViewId="0"/>
  </sheetViews>
  <sheetFormatPr defaultRowHeight="12" customHeight="1"/>
  <cols>
    <col min="1" max="1" width="2" style="2" customWidth="1"/>
    <col min="2" max="2" width="25.5703125" style="2" customWidth="1"/>
    <col min="3" max="3" width="13.5703125" style="2" customWidth="1"/>
    <col min="4" max="4" width="14.140625" style="2" customWidth="1"/>
    <col min="5" max="5" width="13" style="2" customWidth="1"/>
    <col min="6" max="6" width="12.28515625" style="2" customWidth="1"/>
    <col min="7" max="7" width="13.42578125" style="2" customWidth="1"/>
    <col min="8" max="8" width="13.28515625" style="2" customWidth="1"/>
    <col min="9" max="9" width="12.42578125" style="2" customWidth="1"/>
    <col min="10" max="10" width="11.85546875" style="2" customWidth="1"/>
    <col min="11" max="11" width="12.140625" style="2" customWidth="1"/>
    <col min="12" max="12" width="13.7109375" style="2" customWidth="1"/>
    <col min="13" max="13" width="9.140625" style="2"/>
    <col min="14" max="14" width="18.42578125" style="2" customWidth="1"/>
    <col min="15" max="16384" width="9.140625" style="2"/>
  </cols>
  <sheetData>
    <row r="1" spans="1:20" ht="16.5" customHeight="1">
      <c r="B1" s="16" t="s">
        <v>104</v>
      </c>
    </row>
    <row r="3" spans="1:20" ht="12" customHeight="1">
      <c r="E3" s="42"/>
      <c r="F3" s="31"/>
      <c r="G3" s="183"/>
      <c r="H3" s="30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12" customHeight="1">
      <c r="B4" s="29" t="s">
        <v>110</v>
      </c>
      <c r="C4" s="242">
        <v>0.04</v>
      </c>
      <c r="M4" s="3"/>
      <c r="N4" s="3"/>
      <c r="O4" s="3"/>
      <c r="P4" s="3"/>
      <c r="Q4" s="3"/>
      <c r="R4" s="3"/>
      <c r="S4" s="3"/>
      <c r="T4" s="3"/>
    </row>
    <row r="5" spans="1:20" ht="12" customHeight="1">
      <c r="M5" s="3"/>
      <c r="N5" s="3"/>
      <c r="O5" s="3"/>
      <c r="P5" s="3"/>
      <c r="Q5" s="3"/>
      <c r="R5" s="3"/>
      <c r="S5" s="3"/>
      <c r="T5" s="3"/>
    </row>
    <row r="6" spans="1:20" ht="12" customHeight="1">
      <c r="B6" s="300" t="s">
        <v>174</v>
      </c>
      <c r="C6" s="300"/>
      <c r="D6" s="300"/>
      <c r="E6" s="300"/>
      <c r="F6" s="300"/>
      <c r="G6" s="300"/>
      <c r="H6" s="300"/>
      <c r="I6" s="300"/>
      <c r="J6" s="300"/>
      <c r="K6" s="300"/>
      <c r="L6" s="300"/>
      <c r="M6" s="3"/>
      <c r="N6" s="3"/>
      <c r="O6" s="3"/>
      <c r="P6" s="3"/>
      <c r="Q6" s="3"/>
      <c r="R6" s="3"/>
      <c r="S6" s="3"/>
      <c r="T6" s="3"/>
    </row>
    <row r="7" spans="1:20" ht="12" customHeight="1">
      <c r="B7" s="182"/>
      <c r="C7" s="185">
        <v>1</v>
      </c>
      <c r="D7" s="185">
        <v>2</v>
      </c>
      <c r="E7" s="186">
        <v>3</v>
      </c>
      <c r="F7" s="187">
        <v>4</v>
      </c>
      <c r="G7" s="188">
        <v>5</v>
      </c>
      <c r="H7" s="189">
        <v>6</v>
      </c>
      <c r="I7" s="185">
        <v>7</v>
      </c>
      <c r="J7" s="185">
        <v>8</v>
      </c>
      <c r="K7" s="185">
        <v>9</v>
      </c>
      <c r="L7" s="185">
        <v>10</v>
      </c>
      <c r="M7" s="20"/>
      <c r="N7" s="3"/>
      <c r="O7" s="3"/>
      <c r="P7" s="3"/>
      <c r="Q7" s="3"/>
      <c r="R7" s="3"/>
      <c r="S7" s="3"/>
      <c r="T7" s="3"/>
    </row>
    <row r="8" spans="1:20" ht="12" customHeight="1">
      <c r="B8" s="49" t="s">
        <v>127</v>
      </c>
      <c r="C8" s="184">
        <f>'Future Cashflows (10 Yrs)'!G19</f>
        <v>26686.278019497848</v>
      </c>
      <c r="D8" s="184">
        <f>'Future Cashflows (10 Yrs)'!G20</f>
        <v>28466.753124964249</v>
      </c>
      <c r="E8" s="184">
        <f>'Future Cashflows (10 Yrs)'!G21</f>
        <v>30866.096928328217</v>
      </c>
      <c r="F8" s="184">
        <f>'Future Cashflows (10 Yrs)'!G22</f>
        <v>34805.322351711671</v>
      </c>
      <c r="G8" s="184">
        <f>'Future Cashflows (10 Yrs)'!G23</f>
        <v>36024.47089757245</v>
      </c>
      <c r="H8" s="184">
        <f>'Future Cashflows (10 Yrs)'!G24</f>
        <v>44523.851380828943</v>
      </c>
      <c r="I8" s="184">
        <f>'Future Cashflows (10 Yrs)'!G25</f>
        <v>45613.743983232111</v>
      </c>
      <c r="J8" s="184">
        <f>'Future Cashflows (10 Yrs)'!G26</f>
        <v>47026.232449292613</v>
      </c>
      <c r="K8" s="184">
        <f>'Future Cashflows (10 Yrs)'!G27</f>
        <v>47312.883700755221</v>
      </c>
      <c r="L8" s="184">
        <f>'Future Cashflows (10 Yrs)'!G28</f>
        <v>47555.98216871066</v>
      </c>
      <c r="M8" s="3"/>
      <c r="N8" s="3"/>
      <c r="O8" s="3"/>
      <c r="P8" s="3"/>
      <c r="Q8" s="3"/>
      <c r="R8" s="3"/>
      <c r="S8" s="3"/>
      <c r="T8" s="3"/>
    </row>
    <row r="9" spans="1:20" ht="12" customHeight="1">
      <c r="B9" s="49" t="s">
        <v>4</v>
      </c>
      <c r="C9" s="135">
        <f>'Cost of Equity'!C7</f>
        <v>0.10942773863296108</v>
      </c>
      <c r="D9" s="135">
        <f>AVERAGE(C9,E9)</f>
        <v>0.10887060797019801</v>
      </c>
      <c r="E9" s="135">
        <f>AVERAGE(C9,G9)</f>
        <v>0.10831347730743493</v>
      </c>
      <c r="F9" s="135">
        <f>AVERAGE(E9,G9)</f>
        <v>0.10775634664467186</v>
      </c>
      <c r="G9" s="135">
        <f>AVERAGE(C9,L9)</f>
        <v>0.10719921598190879</v>
      </c>
      <c r="H9" s="135">
        <f>AVERAGE(G9,I9)</f>
        <v>0.10664208531914572</v>
      </c>
      <c r="I9" s="135">
        <f>AVERAGE(G9,L9)</f>
        <v>0.10608495465638265</v>
      </c>
      <c r="J9" s="135">
        <f>AVERAGE(I9,K9)</f>
        <v>0.10580638932500111</v>
      </c>
      <c r="K9" s="135">
        <f>AVERAGE(I9,L9)</f>
        <v>0.10552782399361958</v>
      </c>
      <c r="L9" s="135">
        <f>'Industry Numbers'!H9</f>
        <v>0.10497069333085651</v>
      </c>
      <c r="M9" s="3"/>
      <c r="N9" s="3"/>
      <c r="O9" s="3"/>
      <c r="P9" s="3"/>
      <c r="Q9" s="3"/>
      <c r="R9" s="3"/>
      <c r="S9" s="3"/>
      <c r="T9" s="3"/>
    </row>
    <row r="10" spans="1:20" ht="12" customHeight="1">
      <c r="A10" s="3"/>
      <c r="B10" s="111" t="s">
        <v>105</v>
      </c>
      <c r="C10" s="155">
        <f>C8/(1+C9)^C7</f>
        <v>24054.093015900908</v>
      </c>
      <c r="D10" s="155">
        <f t="shared" ref="D10:K10" si="0">D8/(1+D9)^D7</f>
        <v>23151.34307835174</v>
      </c>
      <c r="E10" s="155">
        <f t="shared" si="0"/>
        <v>22672.210887222162</v>
      </c>
      <c r="F10" s="155">
        <f t="shared" si="0"/>
        <v>23113.657455469765</v>
      </c>
      <c r="G10" s="155">
        <f t="shared" si="0"/>
        <v>21650.541503105185</v>
      </c>
      <c r="H10" s="155">
        <f t="shared" si="0"/>
        <v>24240.949711562062</v>
      </c>
      <c r="I10" s="155">
        <f t="shared" si="0"/>
        <v>22520.411719515527</v>
      </c>
      <c r="J10" s="155">
        <f t="shared" si="0"/>
        <v>21033.300500707577</v>
      </c>
      <c r="K10" s="155">
        <f t="shared" si="0"/>
        <v>19180.164265505766</v>
      </c>
      <c r="L10" s="155">
        <f>L8/(1+L9)^L7</f>
        <v>17526.595350004442</v>
      </c>
      <c r="M10" s="3"/>
      <c r="N10" s="3"/>
      <c r="O10" s="3"/>
      <c r="P10" s="3"/>
      <c r="Q10" s="3"/>
      <c r="R10" s="3"/>
      <c r="S10" s="3"/>
      <c r="T10" s="3"/>
    </row>
    <row r="11" spans="1:20" ht="12" customHeight="1">
      <c r="A11" s="3"/>
      <c r="E11" s="33"/>
      <c r="F11" s="33"/>
      <c r="G11" s="33"/>
      <c r="H11" s="33"/>
      <c r="L11" s="199"/>
      <c r="N11" s="3"/>
      <c r="O11" s="3"/>
      <c r="P11" s="3"/>
      <c r="Q11" s="3"/>
      <c r="R11" s="3"/>
      <c r="S11" s="3"/>
      <c r="T11" s="3"/>
    </row>
    <row r="12" spans="1:20" ht="12" customHeight="1">
      <c r="A12" s="3"/>
      <c r="B12" s="191" t="s">
        <v>134</v>
      </c>
      <c r="C12" s="177">
        <f>SUM(C10:L10)</f>
        <v>219143.26748734512</v>
      </c>
      <c r="E12" s="103"/>
      <c r="F12" s="103"/>
      <c r="G12" s="103"/>
      <c r="H12" s="294"/>
      <c r="I12" s="30"/>
      <c r="J12" s="30"/>
      <c r="K12" s="30"/>
      <c r="L12" s="3"/>
      <c r="M12" s="3"/>
      <c r="N12" s="3"/>
      <c r="O12" s="3"/>
      <c r="P12" s="3"/>
      <c r="Q12" s="3"/>
      <c r="R12" s="3"/>
      <c r="S12" s="3"/>
      <c r="T12" s="3"/>
    </row>
    <row r="13" spans="1:20" ht="12" customHeight="1">
      <c r="A13" s="3"/>
      <c r="B13" s="191" t="s">
        <v>99</v>
      </c>
      <c r="C13" s="177">
        <f>'Future Cashflows (10 Yrs)'!G29/('Fair Value of Share'!L9-'Fair Value of Share'!C4)</f>
        <v>650965.68526582036</v>
      </c>
      <c r="D13" s="30"/>
      <c r="E13" s="46"/>
      <c r="F13" s="295"/>
      <c r="G13" s="290"/>
      <c r="H13" s="295"/>
      <c r="I13" s="30"/>
      <c r="J13" s="30"/>
      <c r="K13" s="30"/>
      <c r="L13" s="3"/>
      <c r="M13" s="3"/>
      <c r="N13" s="3"/>
      <c r="O13" s="3"/>
      <c r="P13" s="3"/>
      <c r="Q13" s="3"/>
      <c r="R13" s="3"/>
      <c r="S13" s="3"/>
      <c r="T13" s="3"/>
    </row>
    <row r="14" spans="1:20" s="25" customFormat="1" ht="12" customHeight="1">
      <c r="A14" s="24"/>
      <c r="B14" s="191" t="s">
        <v>102</v>
      </c>
      <c r="C14" s="177">
        <f>C13/(1+L9)^'Fair Value of Share'!$L$7</f>
        <v>239911.1874488641</v>
      </c>
      <c r="D14" s="43"/>
      <c r="E14" s="292"/>
      <c r="F14" s="295"/>
      <c r="G14" s="291"/>
      <c r="H14" s="296"/>
      <c r="I14" s="43"/>
      <c r="J14" s="43"/>
      <c r="K14" s="43"/>
      <c r="L14" s="24"/>
      <c r="M14" s="24"/>
      <c r="N14" s="24"/>
      <c r="O14" s="24"/>
      <c r="P14" s="24"/>
      <c r="Q14" s="24"/>
      <c r="R14" s="24"/>
      <c r="S14" s="24"/>
      <c r="T14" s="24"/>
    </row>
    <row r="15" spans="1:20" ht="12" customHeight="1">
      <c r="A15" s="7"/>
      <c r="B15" s="192" t="s">
        <v>103</v>
      </c>
      <c r="C15" s="154">
        <f>C14+C12</f>
        <v>459054.45493620925</v>
      </c>
      <c r="E15" s="292"/>
      <c r="F15" s="295"/>
      <c r="G15" s="291"/>
      <c r="H15" s="296"/>
      <c r="I15" s="30"/>
      <c r="J15" s="30"/>
      <c r="K15" s="30"/>
      <c r="L15" s="3"/>
      <c r="N15" s="3"/>
      <c r="O15" s="3"/>
      <c r="P15" s="3"/>
      <c r="Q15" s="3"/>
      <c r="R15" s="3"/>
      <c r="S15" s="3"/>
      <c r="T15" s="3"/>
    </row>
    <row r="16" spans="1:20" ht="12" customHeight="1">
      <c r="A16" s="190" t="s">
        <v>82</v>
      </c>
      <c r="B16" s="29" t="s">
        <v>106</v>
      </c>
      <c r="C16" s="184">
        <f>(213.54*0.081425)+(404.82*0.11535)+(404.82*0.090705)</f>
        <v>100.80267959999999</v>
      </c>
      <c r="E16" s="292"/>
      <c r="F16" s="295"/>
      <c r="G16" s="291"/>
      <c r="H16" s="295"/>
      <c r="I16" s="30"/>
      <c r="J16" s="30"/>
      <c r="K16" s="30"/>
      <c r="L16" s="3"/>
      <c r="M16" s="3"/>
      <c r="N16" s="3"/>
      <c r="O16" s="3"/>
      <c r="P16" s="3"/>
      <c r="Q16" s="3"/>
      <c r="R16" s="3"/>
      <c r="S16" s="3"/>
      <c r="T16" s="3"/>
    </row>
    <row r="17" spans="1:20" ht="12" customHeight="1">
      <c r="A17" s="28"/>
      <c r="B17" s="192" t="s">
        <v>108</v>
      </c>
      <c r="C17" s="193">
        <f>C15-C16</f>
        <v>458953.65225660923</v>
      </c>
      <c r="E17" s="292"/>
      <c r="F17" s="295"/>
      <c r="G17" s="291"/>
      <c r="H17" s="295"/>
      <c r="I17" s="30"/>
      <c r="J17" s="30"/>
      <c r="K17" s="30"/>
      <c r="L17" s="3"/>
      <c r="M17" s="3"/>
      <c r="N17" s="3"/>
      <c r="O17" s="3"/>
      <c r="P17" s="3"/>
      <c r="Q17" s="3"/>
      <c r="R17" s="3"/>
      <c r="S17" s="3"/>
      <c r="T17" s="3"/>
    </row>
    <row r="18" spans="1:20" ht="12" customHeight="1">
      <c r="B18" s="29" t="s">
        <v>95</v>
      </c>
      <c r="C18" s="246">
        <v>401.19585599999999</v>
      </c>
      <c r="D18" s="30"/>
      <c r="E18" s="292"/>
      <c r="F18" s="295"/>
      <c r="G18" s="291"/>
      <c r="H18" s="295"/>
      <c r="I18" s="30"/>
      <c r="J18" s="30"/>
      <c r="K18" s="30"/>
      <c r="L18" s="3"/>
      <c r="M18" s="3"/>
      <c r="N18" s="3"/>
      <c r="O18" s="3"/>
      <c r="P18" s="3"/>
      <c r="Q18" s="3"/>
      <c r="R18" s="3"/>
      <c r="S18" s="3"/>
      <c r="T18" s="3"/>
    </row>
    <row r="19" spans="1:20" ht="12" customHeight="1">
      <c r="B19" s="26" t="s">
        <v>107</v>
      </c>
      <c r="C19" s="163">
        <f>C17/C18</f>
        <v>1143.9640898399739</v>
      </c>
      <c r="D19" s="30"/>
      <c r="E19" s="46"/>
      <c r="F19" s="296"/>
      <c r="G19" s="291"/>
      <c r="H19" s="296"/>
      <c r="I19" s="30"/>
      <c r="J19" s="30"/>
      <c r="K19" s="30"/>
      <c r="L19" s="3"/>
      <c r="M19" s="3"/>
      <c r="N19" s="3"/>
      <c r="O19" s="3"/>
      <c r="P19" s="3"/>
      <c r="Q19" s="3"/>
      <c r="R19" s="3"/>
      <c r="S19" s="3"/>
      <c r="T19" s="3"/>
    </row>
    <row r="20" spans="1:20" ht="12" customHeight="1">
      <c r="D20" s="30"/>
      <c r="E20" s="46"/>
      <c r="F20" s="296"/>
      <c r="G20" s="291"/>
      <c r="H20" s="296"/>
      <c r="I20" s="30"/>
      <c r="J20" s="30"/>
      <c r="K20" s="30"/>
      <c r="L20" s="3"/>
      <c r="M20" s="3"/>
      <c r="N20" s="3"/>
      <c r="O20" s="3"/>
      <c r="P20" s="3"/>
      <c r="Q20" s="3"/>
      <c r="R20" s="3"/>
      <c r="S20" s="3"/>
      <c r="T20" s="3"/>
    </row>
    <row r="21" spans="1:20" ht="12" customHeight="1">
      <c r="B21" s="3"/>
      <c r="C21" s="6"/>
      <c r="D21" s="32"/>
      <c r="E21" s="46"/>
      <c r="F21" s="296"/>
      <c r="G21" s="291"/>
      <c r="H21" s="296"/>
      <c r="I21" s="30"/>
      <c r="J21" s="30"/>
      <c r="K21" s="30"/>
      <c r="L21" s="3"/>
      <c r="M21" s="3"/>
      <c r="N21" s="3"/>
      <c r="O21" s="3"/>
      <c r="P21" s="3"/>
      <c r="Q21" s="3"/>
      <c r="R21" s="3"/>
      <c r="S21" s="3"/>
      <c r="T21" s="3"/>
    </row>
    <row r="22" spans="1:20" ht="12" customHeight="1">
      <c r="B22" s="3"/>
      <c r="C22" s="5"/>
      <c r="D22" s="30"/>
      <c r="E22" s="46"/>
      <c r="F22" s="296"/>
      <c r="G22" s="291"/>
      <c r="H22" s="296"/>
      <c r="I22" s="30"/>
      <c r="J22" s="30"/>
      <c r="K22" s="30"/>
      <c r="L22" s="3"/>
      <c r="M22" s="3"/>
      <c r="O22" s="3"/>
      <c r="P22" s="3"/>
      <c r="Q22" s="3"/>
      <c r="R22" s="3"/>
      <c r="S22" s="3"/>
      <c r="T22" s="3"/>
    </row>
    <row r="23" spans="1:20" s="28" customFormat="1" ht="12" customHeight="1">
      <c r="A23" s="2"/>
      <c r="B23" s="3"/>
      <c r="C23" s="3"/>
      <c r="D23" s="30"/>
      <c r="E23" s="196"/>
      <c r="F23" s="197"/>
      <c r="G23" s="14"/>
      <c r="H23" s="293"/>
      <c r="I23" s="33"/>
      <c r="J23" s="33"/>
      <c r="K23" s="33"/>
      <c r="L23" s="27"/>
      <c r="M23" s="27"/>
      <c r="N23" s="27"/>
      <c r="O23" s="27"/>
      <c r="P23" s="27"/>
      <c r="Q23" s="27"/>
      <c r="R23" s="27"/>
      <c r="S23" s="27"/>
      <c r="T23" s="27"/>
    </row>
    <row r="24" spans="1:20" ht="12" customHeight="1">
      <c r="B24" s="3"/>
      <c r="C24" s="3"/>
      <c r="D24" s="32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</row>
    <row r="25" spans="1:20" ht="12" customHeight="1">
      <c r="D25" s="30"/>
      <c r="I25" s="14"/>
      <c r="J25" s="14"/>
      <c r="K25" s="14"/>
      <c r="L25" s="3"/>
      <c r="M25" s="3"/>
      <c r="N25" s="3"/>
      <c r="O25" s="3"/>
      <c r="P25" s="3"/>
      <c r="Q25" s="3"/>
      <c r="R25" s="3"/>
      <c r="S25" s="3"/>
      <c r="T25" s="3"/>
    </row>
    <row r="26" spans="1:20" ht="12" customHeight="1">
      <c r="C26" s="13"/>
      <c r="D26" s="33"/>
      <c r="I26" s="6"/>
      <c r="J26" s="6"/>
      <c r="K26" s="6"/>
      <c r="L26" s="3"/>
      <c r="M26" s="3"/>
      <c r="N26" s="3"/>
      <c r="O26" s="3"/>
      <c r="P26" s="3"/>
      <c r="Q26" s="3"/>
      <c r="R26" s="3"/>
      <c r="S26" s="3"/>
      <c r="T26" s="3"/>
    </row>
    <row r="27" spans="1:20" ht="12" customHeight="1">
      <c r="D27" s="3"/>
      <c r="I27" s="6"/>
      <c r="J27" s="6"/>
      <c r="K27" s="6"/>
      <c r="L27" s="3"/>
      <c r="M27" s="3"/>
      <c r="N27" s="3"/>
      <c r="O27" s="3"/>
      <c r="P27" s="3"/>
      <c r="Q27" s="3"/>
      <c r="R27" s="3"/>
      <c r="S27" s="3"/>
      <c r="T27" s="3"/>
    </row>
    <row r="28" spans="1:20" ht="12" customHeight="1">
      <c r="B28" s="15"/>
      <c r="D28" s="3"/>
      <c r="I28" s="6"/>
      <c r="J28" s="6"/>
      <c r="K28" s="6"/>
      <c r="L28" s="3"/>
      <c r="M28" s="3"/>
      <c r="N28" s="3"/>
      <c r="O28" s="3"/>
      <c r="P28" s="3"/>
      <c r="Q28" s="3"/>
      <c r="R28" s="3"/>
      <c r="S28" s="3"/>
      <c r="T28" s="3"/>
    </row>
    <row r="29" spans="1:20" ht="12" customHeight="1">
      <c r="B29" s="8"/>
      <c r="D29" s="3"/>
      <c r="E29" s="44"/>
      <c r="F29" s="165"/>
      <c r="G29" s="14"/>
      <c r="H29" s="6"/>
      <c r="I29" s="6"/>
      <c r="J29" s="6"/>
      <c r="K29" s="6"/>
      <c r="L29" s="3"/>
      <c r="M29" s="3"/>
      <c r="N29" s="3"/>
      <c r="O29" s="3"/>
      <c r="P29" s="3"/>
      <c r="Q29" s="3"/>
      <c r="R29" s="3"/>
      <c r="S29" s="3"/>
      <c r="T29" s="3"/>
    </row>
    <row r="30" spans="1:20" ht="12" customHeight="1">
      <c r="D30" s="3"/>
      <c r="E30" s="44"/>
      <c r="F30" s="158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</row>
    <row r="31" spans="1:20" ht="12" customHeight="1">
      <c r="E31" s="32"/>
      <c r="F31" s="157"/>
      <c r="G31" s="3"/>
      <c r="H31" s="3"/>
      <c r="I31" s="3"/>
      <c r="J31" s="3"/>
      <c r="K31" s="3"/>
      <c r="L31" s="3"/>
      <c r="M31" s="3"/>
    </row>
    <row r="32" spans="1:20" ht="12" customHeight="1">
      <c r="E32" s="3"/>
      <c r="F32" s="157"/>
      <c r="G32" s="3"/>
      <c r="H32" s="3"/>
      <c r="I32" s="3"/>
      <c r="J32" s="3"/>
      <c r="K32" s="3"/>
      <c r="L32" s="3"/>
      <c r="M32" s="3"/>
    </row>
    <row r="33" spans="5:13" ht="12" customHeight="1">
      <c r="E33" s="3"/>
      <c r="F33" s="195"/>
    </row>
    <row r="34" spans="5:13" ht="12" customHeight="1">
      <c r="E34" s="3"/>
      <c r="F34" s="75"/>
      <c r="G34" s="8"/>
      <c r="K34" s="10"/>
    </row>
    <row r="35" spans="5:13" ht="12" customHeight="1">
      <c r="E35" s="30"/>
      <c r="F35" s="194"/>
      <c r="G35" s="11"/>
      <c r="K35" s="8"/>
      <c r="M35" s="8"/>
    </row>
    <row r="36" spans="5:13" ht="12" customHeight="1">
      <c r="E36" s="30"/>
      <c r="M36" s="8"/>
    </row>
    <row r="37" spans="5:13" ht="12" customHeight="1">
      <c r="E37" s="30"/>
      <c r="F37" s="6"/>
      <c r="G37" s="15"/>
      <c r="K37" s="4"/>
    </row>
    <row r="40" spans="5:13" ht="12" customHeight="1">
      <c r="G40" s="12"/>
    </row>
    <row r="41" spans="5:13" ht="12" customHeight="1">
      <c r="G41" s="8"/>
    </row>
    <row r="42" spans="5:13" ht="12" customHeight="1">
      <c r="G42" s="12"/>
    </row>
    <row r="44" spans="5:13" ht="12" customHeight="1">
      <c r="G44" s="15"/>
    </row>
  </sheetData>
  <mergeCells count="1">
    <mergeCell ref="B6:L6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Cover</vt:lpstr>
      <vt:lpstr>About</vt:lpstr>
      <vt:lpstr>Index</vt:lpstr>
      <vt:lpstr>Risk Free Rate</vt:lpstr>
      <vt:lpstr>Equity Risk Premium</vt:lpstr>
      <vt:lpstr>Beta</vt:lpstr>
      <vt:lpstr>Cost of Equity</vt:lpstr>
      <vt:lpstr> Cash Flows and Fair Value</vt:lpstr>
      <vt:lpstr>Muthoot &amp; Gold Relationship</vt:lpstr>
      <vt:lpstr>Industry Numbers</vt:lpstr>
      <vt:lpstr>Future Cashflows (10 Yrs)</vt:lpstr>
      <vt:lpstr>Fair Value of Share</vt:lpstr>
      <vt:lpstr>About!Print_Area</vt:lpstr>
      <vt:lpstr>Beta!Print_Area</vt:lpstr>
      <vt:lpstr>'Fair Value of Share'!Print_Area</vt:lpstr>
      <vt:lpstr>'Future Cashflows (10 Yrs)'!Print_Area</vt:lpstr>
      <vt:lpstr>'Industry Numbers'!Print_Area</vt:lpstr>
      <vt:lpstr>'Muthoot &amp; Gold Relationship'!Print_Area</vt:lpstr>
      <vt:lpstr>'Risk Free Rate'!Print_Area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2022-07-28T15:30:24Z</dcterms:modified>
</cp:coreProperties>
</file>